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mc:AlternateContent xmlns:mc="http://schemas.openxmlformats.org/markup-compatibility/2006">
    <mc:Choice Requires="x15">
      <x15ac:absPath xmlns:x15ac="http://schemas.microsoft.com/office/spreadsheetml/2010/11/ac" url="/Users/dike1/Downloads/"/>
    </mc:Choice>
  </mc:AlternateContent>
  <xr:revisionPtr revIDLastSave="0" documentId="13_ncr:1_{723DE851-6E64-1B47-AFE9-BF31A71F388D}" xr6:coauthVersionLast="47" xr6:coauthVersionMax="47" xr10:uidLastSave="{00000000-0000-0000-0000-000000000000}"/>
  <bookViews>
    <workbookView xWindow="0" yWindow="0" windowWidth="33600" windowHeight="21000" activeTab="1" xr2:uid="{346724B3-1C49-40AE-AA36-C77CF5D6DD09}"/>
  </bookViews>
  <sheets>
    <sheet name="Pivot" sheetId="6" r:id="rId1"/>
    <sheet name="Dashboard" sheetId="7" r:id="rId2"/>
    <sheet name="Sheet4" sheetId="8" r:id="rId3"/>
    <sheet name="Data" sheetId="1" r:id="rId4"/>
    <sheet name="Logo &amp; Colors" sheetId="4" r:id="rId5"/>
    <sheet name="Questions &amp; KPIs" sheetId="5" r:id="rId6"/>
  </sheets>
  <definedNames>
    <definedName name="_xlchart.v5.0" hidden="1">Pivot!$W$21:$X$21</definedName>
    <definedName name="_xlchart.v5.1" hidden="1">Pivot!$W$22:$X$79</definedName>
    <definedName name="_xlchart.v5.10" hidden="1">Pivot!$U$21</definedName>
    <definedName name="_xlchart.v5.11" hidden="1">Pivot!$U$22:$U$79</definedName>
    <definedName name="_xlchart.v5.12" hidden="1">Pivot!$S$21:$T$21</definedName>
    <definedName name="_xlchart.v5.13" hidden="1">Pivot!$S$22:$T$79</definedName>
    <definedName name="_xlchart.v5.14" hidden="1">Pivot!$U$21</definedName>
    <definedName name="_xlchart.v5.15" hidden="1">Pivot!$U$22:$U$79</definedName>
    <definedName name="_xlchart.v5.2" hidden="1">Pivot!$Y$21</definedName>
    <definedName name="_xlchart.v5.3" hidden="1">Pivot!$Y$22:$Y$79</definedName>
    <definedName name="_xlchart.v5.4" hidden="1">Pivot!$S$21:$T$21</definedName>
    <definedName name="_xlchart.v5.5" hidden="1">Pivot!$S$22:$T$79</definedName>
    <definedName name="_xlchart.v5.6" hidden="1">Pivot!$U$21</definedName>
    <definedName name="_xlchart.v5.7" hidden="1">Pivot!$U$22:$U$79</definedName>
    <definedName name="_xlchart.v5.8" hidden="1">Pivot!$S$21:$T$21</definedName>
    <definedName name="_xlchart.v5.9" hidden="1">Pivot!$S$22:$T$79</definedName>
    <definedName name="Slicer_Gender_Value">#N/A</definedName>
    <definedName name="Slicer_Order_Mode">#N/A</definedName>
  </definedNames>
  <calcPr calcId="191029"/>
  <pivotCaches>
    <pivotCache cacheId="3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8" l="1"/>
  <c r="J5" i="8"/>
  <c r="K5" i="8"/>
  <c r="L5" i="8"/>
  <c r="I6" i="8"/>
  <c r="J6" i="8"/>
  <c r="K6" i="8"/>
  <c r="L6" i="8"/>
  <c r="I7" i="8"/>
  <c r="J7" i="8"/>
  <c r="K7" i="8"/>
  <c r="L7" i="8"/>
  <c r="I8" i="8"/>
  <c r="J8" i="8"/>
  <c r="K8" i="8"/>
  <c r="L8" i="8"/>
  <c r="I9" i="8"/>
  <c r="J9" i="8"/>
  <c r="K9" i="8"/>
  <c r="L9" i="8"/>
  <c r="H6" i="8"/>
  <c r="H7" i="8"/>
  <c r="H8" i="8"/>
  <c r="H9" i="8"/>
  <c r="H5" i="8"/>
  <c r="I4" i="6"/>
  <c r="K4" i="6"/>
  <c r="J4" i="6"/>
  <c r="H4" i="6"/>
  <c r="G4"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<sst xmlns="http://schemas.openxmlformats.org/spreadsheetml/2006/main" count="14899" uniqueCount="2580">
  <si>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</si>
  <si>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</si>
  <si>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</si>
  <si>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</si>
  <si>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</si>
  <si>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</si>
  <si>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</si>
  <si>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</si>
  <si>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</si>
  <si>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</si>
  <si>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</si>
  <si>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</si>
  <si>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</si>
  <si>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</si>
  <si>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</si>
  <si>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</si>
  <si>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</si>
  <si>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</si>
  <si>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</si>
  <si>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</si>
  <si>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</si>
  <si>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</si>
  <si>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</si>
  <si>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</si>
  <si>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</si>
  <si>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</si>
  <si>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</si>
  <si>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</si>
  <si>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</si>
  <si>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</si>
  <si>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</si>
  <si>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</si>
  <si>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</si>
  <si>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</si>
  <si>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</si>
  <si>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</si>
  <si>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</si>
  <si>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</si>
  <si>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</si>
  <si>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</si>
  <si>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</si>
  <si>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</si>
  <si>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</si>
  <si>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</si>
  <si>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</si>
  <si>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</si>
  <si>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</si>
  <si>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</si>
  <si>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</si>
  <si>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</si>
  <si>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</si>
  <si>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</si>
  <si>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</si>
  <si>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</si>
  <si>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</si>
  <si>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</si>
  <si>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</si>
  <si>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</si>
  <si>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</si>
  <si>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</si>
  <si>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</si>
  <si>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</si>
  <si>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</si>
  <si>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</si>
  <si>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</si>
  <si>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</si>
  <si>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</si>
  <si>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</si>
  <si>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</si>
  <si>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</si>
  <si>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</si>
  <si>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</si>
  <si>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</si>
  <si>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</si>
  <si>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</si>
  <si>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</si>
  <si>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</si>
  <si>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</si>
  <si>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</si>
  <si>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</si>
  <si>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</si>
  <si>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</si>
  <si>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</si>
  <si>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</si>
  <si>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</si>
  <si>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</si>
  <si>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</si>
  <si>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</si>
  <si>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</si>
  <si>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</si>
  <si>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</si>
  <si>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</si>
  <si>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</si>
  <si>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</si>
  <si>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</si>
  <si>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</si>
  <si>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</si>
  <si>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</si>
  <si>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</si>
  <si>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</si>
  <si>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</si>
  <si>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</si>
  <si>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</si>
  <si>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</si>
  <si>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</si>
  <si>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</si>
  <si>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</si>
  <si>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</si>
  <si>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</si>
  <si>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</si>
  <si>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</si>
  <si>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</si>
  <si>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</si>
  <si>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</si>
  <si>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</si>
  <si>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</si>
  <si>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</si>
  <si>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</si>
  <si>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</si>
  <si>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</si>
  <si>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</si>
  <si>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</si>
  <si>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</si>
  <si>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</si>
  <si>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</si>
  <si>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</si>
  <si>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</si>
  <si>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</si>
  <si>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</si>
  <si>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</si>
  <si>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</si>
  <si>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</si>
  <si>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</si>
  <si>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</si>
  <si>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</si>
  <si>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</si>
  <si>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</si>
  <si>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</si>
  <si>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</si>
  <si>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</si>
  <si>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</si>
  <si>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</si>
  <si>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</si>
  <si>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</si>
  <si>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</si>
  <si>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</si>
  <si>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</si>
  <si>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</si>
  <si>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</si>
  <si>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</si>
  <si>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</si>
  <si>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</si>
  <si>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</si>
  <si>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</si>
  <si>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</si>
  <si>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</si>
  <si>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</si>
  <si>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</si>
  <si>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</si>
  <si>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</si>
  <si>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</si>
  <si>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</si>
  <si>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</si>
  <si>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</si>
  <si>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</si>
  <si>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</si>
  <si>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</si>
  <si>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</si>
  <si>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</si>
  <si>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</si>
  <si>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</si>
  <si>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</si>
  <si>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</si>
  <si>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</si>
  <si>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</si>
  <si>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</si>
  <si>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</si>
  <si>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</si>
  <si>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</si>
  <si>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</si>
  <si>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</si>
  <si>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</si>
  <si>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</si>
  <si>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</si>
  <si>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</si>
  <si>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</si>
  <si>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</si>
  <si>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</si>
  <si>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</si>
  <si>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</si>
  <si>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</si>
  <si>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</si>
  <si>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</si>
  <si>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</si>
  <si>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</si>
  <si>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</si>
  <si>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</si>
  <si>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</si>
  <si>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</si>
  <si>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</si>
  <si>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</si>
  <si>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</si>
  <si>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</si>
  <si>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</si>
  <si>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</si>
  <si>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</si>
  <si>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</si>
  <si>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</si>
  <si>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</si>
  <si>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</si>
  <si>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</si>
  <si>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</si>
  <si>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</si>
  <si>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</si>
  <si>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</si>
  <si>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</si>
  <si>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</si>
  <si>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</si>
  <si>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</si>
  <si>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</si>
  <si>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</si>
  <si>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</si>
  <si>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</si>
  <si>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</si>
  <si>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</si>
  <si>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</si>
  <si>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</si>
  <si>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</si>
  <si>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</si>
  <si>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</si>
  <si>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</si>
  <si>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</si>
  <si>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</si>
  <si>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</si>
  <si>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</si>
  <si>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</si>
  <si>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</si>
  <si>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</si>
  <si>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</si>
  <si>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</si>
  <si>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</si>
  <si>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</si>
  <si>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</si>
  <si>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</si>
  <si>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</si>
  <si>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</si>
  <si>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</si>
  <si>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</si>
  <si>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</si>
  <si>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</si>
  <si>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</si>
  <si>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</si>
  <si>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</si>
  <si>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</si>
  <si>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</si>
  <si>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</si>
  <si>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</si>
  <si>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</si>
  <si>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</si>
  <si>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</si>
  <si>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</si>
  <si>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</si>
  <si>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</si>
  <si>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</si>
  <si>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</si>
  <si>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</si>
  <si>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</si>
  <si>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</si>
  <si>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</si>
  <si>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</si>
  <si>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</si>
  <si>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</si>
  <si>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</si>
  <si>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</si>
  <si>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</si>
  <si>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</si>
  <si>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</si>
  <si>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</si>
  <si>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</si>
  <si>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</si>
  <si>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</si>
  <si>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</si>
  <si>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</si>
  <si>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</si>
  <si>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</si>
  <si>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</si>
  <si>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</si>
  <si>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</si>
  <si>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</si>
  <si>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</si>
  <si>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</si>
  <si>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</si>
  <si>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</si>
  <si>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</si>
  <si>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</si>
  <si>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</si>
  <si>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</si>
  <si>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</si>
  <si>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</si>
  <si>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</si>
  <si>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</si>
  <si>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</si>
  <si>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</si>
  <si>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</si>
  <si>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</si>
  <si>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</si>
  <si>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</si>
  <si>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</si>
  <si>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</si>
  <si>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</si>
  <si>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</si>
  <si>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</si>
  <si>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</si>
  <si>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</si>
  <si>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</si>
  <si>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</si>
  <si>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</si>
  <si>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</si>
  <si>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</si>
  <si>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</si>
  <si>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</si>
  <si>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</si>
  <si>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</si>
  <si>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</si>
  <si>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</si>
  <si>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</si>
  <si>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</si>
  <si>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</si>
  <si>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</si>
  <si>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</si>
  <si>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</si>
  <si>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</si>
  <si>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</si>
  <si>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</si>
  <si>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</si>
  <si>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</si>
  <si>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</si>
  <si>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</si>
  <si>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</si>
  <si>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</si>
  <si>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</si>
  <si>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</si>
  <si>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</si>
  <si>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</si>
  <si>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</si>
  <si>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</si>
  <si>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</si>
  <si>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</si>
  <si>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</si>
  <si>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</si>
  <si>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</si>
  <si>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</si>
  <si>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</si>
  <si>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</si>
  <si>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</si>
  <si>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</si>
  <si>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</si>
  <si>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</si>
  <si>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</si>
  <si>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</si>
  <si>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</si>
  <si>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</si>
  <si>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</si>
  <si>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</si>
  <si>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</si>
  <si>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</si>
  <si>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</si>
  <si>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</si>
  <si>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</si>
  <si>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</si>
  <si>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</si>
  <si>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</si>
  <si>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</si>
  <si>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</si>
  <si>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</si>
  <si>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</si>
  <si>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</si>
  <si>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</si>
  <si>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</si>
  <si>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</si>
  <si>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</si>
  <si>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</si>
  <si>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</si>
  <si>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</si>
  <si>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</si>
  <si>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</si>
  <si>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</si>
  <si>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</si>
  <si>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</si>
  <si>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</si>
  <si>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</si>
  <si>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</si>
  <si>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</si>
  <si>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</si>
  <si>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</si>
  <si>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</si>
  <si>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</si>
  <si>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</si>
  <si>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</si>
  <si>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</si>
  <si>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</si>
  <si>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</si>
  <si>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</si>
  <si>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</si>
  <si>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</si>
  <si>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</si>
  <si>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</si>
  <si>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</si>
  <si>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</si>
  <si>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</si>
  <si>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</si>
  <si>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</si>
  <si>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</si>
  <si>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</si>
  <si>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</si>
  <si>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</si>
  <si>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</si>
  <si>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</si>
  <si>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</si>
  <si>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</si>
  <si>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</si>
  <si>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</si>
  <si>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</si>
  <si>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</si>
  <si>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</si>
  <si>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</si>
  <si>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</si>
  <si>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</si>
  <si>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</si>
  <si>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</si>
  <si>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</si>
  <si>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</si>
  <si>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</si>
  <si>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</si>
  <si>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</si>
  <si>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</si>
  <si>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</si>
  <si>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</si>
  <si>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</si>
  <si>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</si>
  <si>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</si>
  <si>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</si>
  <si>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</si>
  <si>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</si>
  <si>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</si>
  <si>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</si>
  <si>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</si>
  <si>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</si>
  <si>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</si>
  <si>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</si>
  <si>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</si>
  <si>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</si>
  <si>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</si>
  <si>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</si>
  <si>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</si>
  <si>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</si>
  <si>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</si>
  <si>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</si>
  <si>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</si>
  <si>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</si>
  <si>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</si>
  <si>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</si>
  <si>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</si>
  <si>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</si>
  <si>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</si>
  <si>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</si>
  <si>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</si>
  <si>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</si>
  <si>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</si>
  <si>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</si>
  <si>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</si>
  <si>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</si>
  <si>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</si>
  <si>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</si>
  <si>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</si>
  <si>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</si>
  <si>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</si>
  <si>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</si>
  <si>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</si>
  <si>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</si>
  <si>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</si>
  <si>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</si>
  <si>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</si>
  <si>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</si>
  <si>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</si>
  <si>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</si>
  <si>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</si>
  <si>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</si>
  <si>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</si>
  <si>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</si>
  <si>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</si>
  <si>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</si>
  <si>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</si>
  <si>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</si>
  <si>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</si>
  <si>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</si>
  <si>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</si>
  <si>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</si>
  <si>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</si>
  <si>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</si>
  <si>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</si>
  <si>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</si>
  <si>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</si>
  <si>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</si>
  <si>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</si>
  <si>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</si>
  <si>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</si>
  <si>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</si>
  <si>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</si>
  <si>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</si>
  <si>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</si>
  <si>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</si>
  <si>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</si>
  <si>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</si>
  <si>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</si>
  <si>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</si>
  <si>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</si>
  <si>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</si>
  <si>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</si>
  <si>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</si>
  <si>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</si>
  <si>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</si>
  <si>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</si>
  <si>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</si>
  <si>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</si>
  <si>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</si>
  <si>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</si>
  <si>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</si>
  <si>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</si>
  <si>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</si>
  <si>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</si>
  <si>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</si>
  <si>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</si>
  <si>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</si>
  <si>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</si>
  <si>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</si>
  <si>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</si>
  <si>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</si>
  <si>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</si>
  <si>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</si>
  <si>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</si>
  <si>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</si>
  <si>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</si>
  <si>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</si>
  <si>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</si>
  <si>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</si>
  <si>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</si>
  <si>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</si>
  <si>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</si>
  <si>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</si>
  <si>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</si>
  <si>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</si>
  <si>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</si>
  <si>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</si>
  <si>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</si>
  <si>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</si>
  <si>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</si>
  <si>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</si>
  <si>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</si>
  <si>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</si>
  <si>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</si>
  <si>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</si>
  <si>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</si>
  <si>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</si>
  <si>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</si>
  <si>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</si>
  <si>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</si>
  <si>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</si>
  <si>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</si>
  <si>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</si>
  <si>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</si>
  <si>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</si>
  <si>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</si>
  <si>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</si>
  <si>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</si>
  <si>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</si>
  <si>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</si>
  <si>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</si>
  <si>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</si>
  <si>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</si>
  <si>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</si>
  <si>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</si>
  <si>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</si>
  <si>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</si>
  <si>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</si>
  <si>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</si>
  <si>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</si>
  <si>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</si>
  <si>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</si>
  <si>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</si>
  <si>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</si>
  <si>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</si>
  <si>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</si>
  <si>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</si>
  <si>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</si>
  <si>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</si>
  <si>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</si>
  <si>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</si>
  <si>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</si>
  <si>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</si>
  <si>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</si>
  <si>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</si>
  <si>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</si>
  <si>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</si>
  <si>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</si>
  <si>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</si>
  <si>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</si>
  <si>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</si>
  <si>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</si>
  <si>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</si>
  <si>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</si>
  <si>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</si>
  <si>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</si>
  <si>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</si>
  <si>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</si>
  <si>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</si>
  <si>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</si>
  <si>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</si>
  <si>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</si>
  <si>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</si>
  <si>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</si>
  <si>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</si>
  <si>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</si>
  <si>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</si>
  <si>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</si>
  <si>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</si>
  <si>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</si>
  <si>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</si>
  <si>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</si>
  <si>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</si>
  <si>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</si>
  <si>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</si>
  <si>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</si>
  <si>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</si>
  <si>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</si>
  <si>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</si>
  <si>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</si>
  <si>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</si>
  <si>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</si>
  <si>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</si>
  <si>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</si>
  <si>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</si>
  <si>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</si>
  <si>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</si>
  <si>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</si>
  <si>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</si>
  <si>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</si>
  <si>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</si>
  <si>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</si>
  <si>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</si>
  <si>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</si>
  <si>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</si>
  <si>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</si>
  <si>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</si>
  <si>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</si>
  <si>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</si>
  <si>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</si>
  <si>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</si>
  <si>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</si>
  <si>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</si>
  <si>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</si>
  <si>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</si>
  <si>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</si>
  <si>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</si>
  <si>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</si>
  <si>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</si>
  <si>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</si>
  <si>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</si>
  <si>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</si>
  <si>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</si>
  <si>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</si>
  <si>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</si>
  <si>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</si>
  <si>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</si>
  <si>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</si>
  <si>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</si>
  <si>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</si>
  <si>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</si>
  <si>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</si>
  <si>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</si>
  <si>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</si>
  <si>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</si>
  <si>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</si>
  <si>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</si>
  <si>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</si>
  <si>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</si>
  <si>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</si>
  <si>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</si>
  <si>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</si>
  <si>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</si>
  <si>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</si>
  <si>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</si>
  <si>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</si>
  <si>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</si>
  <si>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</si>
  <si>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</si>
  <si>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</si>
  <si>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</si>
  <si>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</si>
  <si>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</si>
  <si>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</si>
  <si>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</si>
  <si>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</si>
  <si>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</si>
  <si>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</si>
  <si>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</si>
  <si>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</si>
  <si>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</si>
  <si>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</si>
  <si>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</si>
  <si>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</si>
  <si>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</si>
  <si>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</si>
  <si>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</si>
  <si>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</si>
  <si>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</si>
  <si>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</si>
  <si>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</si>
  <si>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</si>
  <si>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</si>
  <si>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</si>
  <si>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</si>
  <si>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</si>
  <si>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</si>
  <si>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</si>
  <si>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</si>
  <si>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</si>
  <si>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</si>
  <si>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</si>
  <si>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</si>
  <si>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</si>
  <si>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</si>
  <si>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</si>
  <si>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</si>
  <si>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</si>
  <si>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</si>
  <si>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</si>
  <si>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</si>
  <si>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</si>
  <si>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</si>
  <si>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</si>
  <si>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</si>
  <si>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</si>
  <si>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</si>
  <si>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</si>
  <si>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</si>
  <si>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</si>
  <si>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</si>
  <si>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</si>
  <si>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</si>
  <si>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</si>
  <si>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</si>
  <si>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</si>
  <si>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</si>
  <si>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</si>
  <si>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</si>
  <si>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</si>
  <si>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</si>
  <si>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</si>
  <si>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</si>
  <si>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</si>
  <si>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</si>
  <si>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</si>
  <si>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</si>
  <si>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</si>
  <si>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</si>
  <si>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</si>
  <si>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</si>
  <si>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</si>
  <si>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</si>
  <si>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</si>
  <si>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</si>
  <si>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</si>
  <si>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</si>
  <si>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</si>
  <si>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</si>
  <si>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</si>
  <si>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</si>
  <si>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</si>
  <si>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</si>
  <si>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</si>
  <si>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</si>
  <si>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</si>
  <si>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</si>
  <si>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</si>
  <si>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</si>
  <si>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</si>
  <si>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</si>
  <si>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</si>
  <si>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</si>
  <si>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</si>
  <si>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</si>
  <si>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</si>
  <si>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</si>
  <si>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</si>
  <si>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</si>
  <si>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</si>
  <si>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</si>
  <si>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</si>
  <si>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</si>
  <si>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</si>
  <si>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</si>
  <si>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</si>
  <si>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</si>
  <si>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</si>
  <si>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</si>
  <si>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</si>
  <si>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</si>
  <si>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</si>
  <si>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</si>
  <si>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</si>
  <si>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</si>
  <si>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</si>
  <si>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</si>
  <si>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</si>
  <si>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</si>
  <si>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</si>
  <si>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</si>
  <si>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</si>
  <si>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</si>
  <si>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</si>
  <si>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</si>
  <si>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</si>
  <si>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</si>
  <si>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</si>
  <si>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</si>
  <si>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</si>
  <si>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</si>
  <si>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</si>
  <si>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</si>
  <si>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</si>
  <si>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</si>
  <si>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</si>
  <si>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</si>
  <si>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</si>
  <si>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</si>
  <si>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</si>
  <si>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</si>
  <si>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</si>
  <si>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</si>
  <si>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</si>
  <si>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</si>
  <si>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</si>
  <si>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</si>
  <si>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</si>
  <si>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</si>
  <si>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</si>
  <si>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</si>
  <si>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</si>
  <si>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</si>
  <si>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</si>
  <si>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</si>
  <si>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</si>
  <si>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</si>
  <si>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</si>
  <si>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</si>
  <si>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</si>
  <si>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</si>
  <si>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</si>
  <si>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</si>
  <si>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</si>
  <si>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</si>
  <si>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</si>
  <si>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</si>
  <si>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</si>
  <si>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</si>
  <si>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</si>
  <si>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</si>
  <si>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</si>
  <si>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</si>
  <si>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</si>
  <si>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</si>
  <si>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</si>
  <si>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</si>
  <si>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</si>
  <si>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</si>
  <si>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</si>
  <si>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</si>
  <si>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</si>
  <si>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</si>
  <si>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</si>
  <si>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</si>
  <si>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</si>
  <si>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</si>
  <si>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</si>
  <si>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</si>
  <si>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</si>
  <si>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</si>
  <si>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</si>
  <si>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</si>
  <si>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</si>
  <si>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</si>
  <si>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</si>
  <si>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</si>
  <si>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</si>
  <si>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</si>
  <si>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</si>
  <si>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</si>
  <si>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</si>
  <si>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</si>
  <si>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</si>
  <si>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</si>
  <si>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</si>
  <si>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</si>
  <si>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</si>
  <si>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</si>
  <si>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</si>
  <si>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</si>
  <si>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</si>
  <si>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</si>
  <si>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</si>
  <si>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</si>
  <si>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</si>
  <si>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</si>
  <si>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</si>
  <si>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</si>
  <si>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</si>
  <si>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</si>
  <si>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</si>
  <si>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</si>
  <si>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</si>
  <si>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</si>
  <si>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</si>
  <si>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</si>
  <si>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</si>
  <si>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</si>
  <si>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</si>
  <si>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</si>
  <si>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</si>
  <si>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</si>
  <si>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</si>
  <si>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</si>
  <si>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</si>
  <si>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</si>
  <si>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</si>
  <si>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</si>
  <si>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</si>
  <si>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</si>
  <si>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</si>
  <si>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</si>
  <si>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</si>
  <si>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</si>
  <si>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</si>
  <si>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</si>
  <si>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</si>
  <si>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</si>
  <si>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</si>
  <si>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</si>
  <si>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</si>
  <si>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</si>
  <si>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</si>
  <si>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</si>
  <si>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</si>
  <si>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</si>
  <si>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</si>
  <si>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</si>
  <si>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</si>
  <si>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</si>
  <si>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</si>
  <si>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</si>
  <si>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</si>
  <si>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</si>
  <si>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</si>
  <si>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</si>
  <si>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</si>
  <si>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</si>
  <si>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</si>
  <si>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</si>
  <si>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</si>
  <si>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</si>
  <si>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</si>
  <si>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</si>
  <si>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</si>
  <si>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</si>
  <si>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</si>
  <si>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</si>
  <si>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</si>
  <si>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</si>
  <si>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</si>
  <si>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</si>
  <si>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</si>
  <si>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</si>
  <si>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</si>
  <si>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</si>
  <si>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</si>
  <si>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</si>
  <si>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</si>
  <si>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</si>
  <si>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</si>
  <si>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</si>
  <si>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</si>
  <si>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</si>
  <si>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</si>
  <si>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</si>
  <si>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</si>
  <si>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</si>
  <si>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</si>
  <si>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</si>
  <si>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</si>
  <si>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</si>
  <si>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</si>
  <si>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</si>
  <si>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</si>
  <si>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</si>
  <si>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</si>
  <si>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</si>
  <si>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</si>
  <si>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</si>
  <si>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</si>
  <si>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</si>
  <si>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</si>
  <si>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</si>
  <si>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</si>
  <si>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</si>
  <si>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</si>
  <si>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</si>
  <si>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</si>
  <si>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</si>
  <si>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</si>
  <si>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</si>
  <si>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</si>
  <si>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</si>
  <si>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</si>
  <si>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</si>
  <si>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</si>
  <si>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</si>
  <si>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</si>
  <si>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</si>
  <si>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</si>
  <si>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</si>
  <si>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</si>
  <si>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</si>
  <si>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</si>
  <si>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</si>
  <si>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</si>
  <si>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</si>
  <si>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</si>
  <si>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</si>
  <si>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</si>
  <si>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</si>
  <si>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</si>
  <si>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</si>
  <si>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</si>
  <si>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</si>
  <si>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</si>
  <si>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</si>
  <si>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</si>
  <si>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</si>
  <si>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</si>
  <si>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</si>
  <si>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</si>
  <si>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</si>
  <si>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</si>
  <si>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</si>
  <si>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</si>
  <si>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</si>
  <si>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</si>
  <si>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</si>
  <si>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</si>
  <si>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</si>
  <si>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</si>
  <si>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</si>
  <si>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</si>
  <si>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</si>
  <si>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</si>
  <si>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</si>
  <si>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</si>
  <si>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</si>
  <si>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</si>
  <si>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</si>
  <si>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</si>
  <si>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</si>
  <si>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</si>
  <si>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</si>
  <si>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</si>
  <si>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</si>
  <si>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</si>
  <si>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</si>
  <si>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</si>
  <si>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</si>
  <si>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</si>
  <si>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</si>
  <si>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</si>
  <si>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</si>
  <si>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</si>
  <si>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</si>
  <si>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</si>
  <si>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</si>
  <si>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</si>
  <si>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</si>
  <si>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</si>
  <si>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</si>
  <si>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</si>
  <si>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</si>
  <si>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</si>
  <si>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</si>
  <si>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</si>
  <si>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</si>
  <si>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</si>
  <si>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</si>
  <si>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</si>
  <si>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</si>
  <si>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</si>
  <si>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</si>
  <si>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</si>
  <si>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</si>
  <si>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</si>
  <si>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</si>
  <si>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</si>
  <si>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</si>
  <si>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</si>
  <si>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</si>
  <si>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</si>
  <si>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</si>
  <si>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</si>
  <si>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</si>
  <si>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</si>
  <si>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</si>
  <si>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</si>
  <si>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</si>
  <si>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</si>
  <si>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</si>
  <si>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</si>
  <si>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</si>
  <si>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</si>
  <si>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</si>
  <si>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</si>
  <si>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</si>
  <si>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</si>
  <si>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</si>
  <si>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</si>
  <si>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</si>
  <si>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</si>
  <si>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</si>
  <si>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</si>
  <si>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</si>
  <si>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</si>
  <si>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</si>
  <si>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</si>
  <si>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</si>
  <si>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</si>
  <si>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</si>
  <si>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</si>
  <si>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</si>
  <si>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</si>
  <si>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</si>
  <si>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</si>
  <si>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</si>
  <si>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</si>
  <si>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</si>
  <si>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</si>
  <si>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</si>
  <si>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</si>
  <si>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</si>
  <si>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</si>
  <si>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</si>
  <si>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</si>
  <si>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</si>
  <si>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</si>
  <si>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</si>
  <si>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</si>
  <si>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</si>
  <si>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</si>
  <si>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</si>
  <si>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</si>
  <si>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</si>
  <si>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</si>
  <si>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</si>
  <si>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</si>
  <si>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</si>
  <si>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</si>
  <si>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</si>
  <si>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</si>
  <si>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</si>
  <si>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</si>
  <si>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</si>
  <si>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</si>
  <si>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</si>
  <si>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</si>
  <si>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</si>
  <si>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</si>
  <si>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</si>
  <si>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</si>
  <si>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</si>
  <si>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</si>
  <si>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</si>
  <si>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</si>
  <si>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</si>
  <si>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</si>
  <si>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</si>
  <si>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</si>
  <si>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</si>
  <si>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</si>
  <si>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</si>
  <si>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</si>
  <si>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</si>
  <si>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</si>
  <si>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</si>
  <si>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</si>
  <si>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</si>
  <si>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</si>
  <si>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</si>
  <si>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</si>
  <si>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</si>
  <si>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</si>
  <si>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</si>
  <si>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</si>
  <si>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</si>
  <si>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</si>
  <si>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</si>
  <si>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</si>
  <si>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</si>
  <si>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</si>
  <si>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</si>
  <si>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</si>
  <si>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</si>
  <si>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</si>
  <si>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</si>
  <si>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</si>
  <si>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</si>
  <si>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</si>
  <si>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</si>
  <si>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</si>
  <si>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</si>
  <si>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</si>
  <si>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</si>
  <si>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</si>
  <si>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</si>
  <si>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</si>
  <si>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</si>
  <si>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</si>
  <si>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</si>
  <si>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</si>
  <si>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</si>
  <si>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</si>
  <si>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</si>
  <si>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</si>
  <si>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</si>
  <si>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</si>
  <si>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</si>
  <si>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</si>
  <si>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</si>
  <si>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</si>
  <si>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</si>
  <si>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</si>
  <si>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</si>
  <si>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</si>
  <si>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</si>
  <si>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</si>
  <si>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</si>
  <si>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</si>
  <si>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</si>
  <si>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</si>
  <si>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</si>
  <si>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</si>
  <si>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</si>
  <si>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</si>
  <si>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</si>
  <si>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</si>
  <si>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</si>
  <si>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</si>
  <si>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</si>
  <si>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</si>
  <si>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</si>
  <si>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</si>
  <si>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</si>
  <si>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</si>
  <si>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</si>
  <si>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</si>
  <si>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</si>
  <si>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</si>
  <si>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</si>
  <si>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</si>
  <si>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</si>
  <si>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</si>
  <si>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</si>
  <si>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</si>
  <si>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</si>
  <si>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</si>
  <si>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</si>
  <si>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</si>
  <si>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</si>
  <si>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</si>
  <si>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</si>
  <si>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</si>
  <si>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</si>
  <si>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</si>
  <si>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</si>
  <si>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</si>
  <si>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</si>
  <si>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</si>
  <si>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</si>
  <si>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</si>
  <si>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</si>
  <si>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</si>
  <si>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</si>
  <si>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</si>
  <si>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</si>
  <si>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</si>
  <si>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</si>
  <si>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</si>
  <si>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</si>
  <si>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</si>
  <si>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</si>
  <si>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</si>
  <si>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</si>
  <si>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</si>
  <si>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</si>
  <si>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</si>
  <si>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</si>
  <si>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</si>
  <si>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</si>
  <si>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</si>
  <si>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</si>
  <si>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</si>
  <si>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</si>
  <si>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</si>
  <si>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</si>
  <si>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</si>
  <si>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</si>
  <si>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</si>
  <si>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</si>
  <si>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</si>
  <si>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</si>
  <si>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</si>
  <si>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</si>
  <si>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</si>
  <si>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</si>
  <si>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</si>
  <si>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</si>
  <si>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</si>
  <si>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</si>
  <si>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</si>
  <si>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</si>
  <si>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</si>
  <si>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</si>
  <si>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</si>
  <si>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</si>
  <si>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</si>
  <si>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</si>
  <si>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</si>
  <si>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</si>
  <si>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</si>
  <si>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</si>
  <si>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</si>
  <si>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</si>
  <si>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</si>
  <si>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</si>
  <si>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</si>
  <si>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</si>
  <si>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</si>
  <si>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</si>
  <si>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</si>
  <si>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</si>
  <si>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</si>
  <si>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</si>
  <si>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</si>
  <si>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</si>
  <si>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</si>
  <si>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</si>
  <si>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</si>
  <si>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</si>
  <si>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</si>
  <si>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</si>
  <si>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</si>
  <si>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</si>
  <si>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</si>
  <si>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</si>
  <si>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</si>
  <si>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</si>
  <si>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</si>
  <si>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</si>
  <si>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</si>
  <si>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</si>
  <si>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</si>
  <si>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</si>
  <si>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</si>
  <si>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</si>
  <si>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</si>
  <si>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</si>
  <si>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</si>
  <si>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</si>
  <si>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</si>
  <si>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</si>
  <si>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</si>
  <si>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</si>
  <si>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</si>
  <si>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</si>
  <si>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</si>
  <si>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</si>
  <si>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</si>
  <si>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</si>
  <si>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</si>
  <si>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</si>
  <si>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</si>
  <si>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</si>
  <si>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</si>
  <si>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</si>
  <si>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</si>
  <si>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</si>
  <si>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</si>
  <si>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</si>
  <si>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</si>
  <si>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</si>
  <si>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</si>
  <si>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</si>
  <si>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</si>
  <si>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</si>
  <si>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</si>
  <si>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</si>
  <si>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</si>
  <si>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</si>
  <si>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</si>
  <si>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</si>
  <si>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</si>
  <si>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</si>
  <si>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</si>
  <si>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</si>
  <si>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</si>
  <si>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</si>
  <si>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</si>
  <si>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</si>
  <si>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</si>
  <si>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</si>
  <si>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</si>
  <si>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</si>
  <si>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</si>
  <si>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</si>
  <si>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</si>
  <si>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</si>
  <si>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</si>
  <si>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</si>
  <si>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</si>
  <si>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</si>
  <si>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</si>
  <si>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</si>
  <si>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</si>
  <si>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</si>
  <si>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</si>
  <si>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</si>
  <si>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</si>
  <si>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</si>
  <si>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</si>
  <si>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</si>
  <si>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</si>
  <si>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</si>
  <si>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</si>
  <si>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</si>
  <si>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</si>
  <si>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</si>
  <si>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</si>
  <si>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</si>
  <si>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</si>
  <si>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</si>
  <si>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</si>
  <si>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</si>
  <si>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</si>
  <si>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</si>
  <si>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</si>
  <si>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</si>
  <si>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</si>
  <si>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</si>
  <si>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</si>
  <si>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</si>
  <si>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</si>
  <si>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</si>
  <si>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</si>
  <si>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</si>
  <si>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</si>
  <si>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</si>
  <si>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</si>
  <si>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</si>
  <si>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</si>
  <si>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</si>
  <si>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</si>
  <si>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</si>
  <si>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</si>
  <si>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</si>
  <si>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</si>
  <si>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</si>
  <si>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</si>
  <si>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</si>
  <si>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</si>
  <si>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</si>
  <si>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</si>
  <si>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</si>
  <si>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</si>
  <si>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</si>
  <si>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</si>
  <si>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</si>
  <si>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</si>
  <si>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</si>
  <si>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</si>
  <si>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</si>
  <si>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</si>
  <si>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</si>
  <si>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</si>
  <si>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</si>
  <si>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</si>
  <si>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</si>
  <si>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</si>
  <si>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</si>
  <si>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</si>
  <si>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</si>
  <si>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</si>
  <si>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</si>
  <si>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</si>
  <si>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</si>
  <si>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</si>
  <si>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</si>
  <si>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</si>
  <si>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</si>
  <si>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</si>
  <si>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</si>
  <si>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</si>
  <si>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</si>
  <si>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</si>
  <si>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</si>
  <si>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</si>
  <si>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</si>
  <si>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</si>
  <si>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</si>
  <si>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</si>
  <si>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</si>
  <si>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</si>
  <si>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</si>
  <si>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</si>
  <si>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</si>
  <si>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</si>
  <si>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</si>
  <si>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</si>
  <si>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</si>
  <si>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</si>
  <si>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</si>
  <si>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</si>
  <si>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</si>
  <si>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</si>
  <si>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</si>
  <si>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</si>
  <si>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</si>
  <si>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</si>
  <si>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</si>
  <si>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</si>
  <si>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</si>
  <si>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</si>
  <si>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</si>
  <si>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</si>
  <si>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</si>
  <si>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</si>
  <si>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</si>
  <si>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</si>
  <si>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</si>
  <si>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</si>
  <si>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</si>
  <si>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</si>
  <si>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</si>
  <si>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</si>
  <si>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</si>
  <si>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</si>
  <si>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</si>
  <si>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</si>
  <si>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</si>
  <si>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</si>
  <si>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</si>
  <si>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</si>
  <si>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</si>
  <si>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</si>
  <si>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</si>
  <si>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</si>
  <si>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</si>
  <si>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</si>
  <si>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</si>
  <si>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</si>
  <si>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</si>
  <si>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</si>
  <si>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</si>
  <si>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</si>
  <si>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</si>
  <si>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</si>
  <si>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</si>
  <si>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</si>
  <si>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</si>
  <si>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</si>
  <si>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</si>
  <si>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</si>
  <si>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</si>
  <si>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</si>
  <si>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</si>
  <si>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</si>
  <si>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</si>
  <si>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</si>
  <si>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</si>
  <si>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</si>
  <si>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</si>
  <si>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</si>
  <si>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</si>
  <si>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</si>
  <si>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</si>
  <si>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</si>
  <si>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</si>
  <si>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</si>
  <si>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</si>
  <si>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</si>
  <si>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</si>
  <si>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</si>
  <si>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</si>
  <si>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</si>
  <si>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</si>
  <si>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</si>
  <si>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</si>
  <si>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</si>
  <si>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</si>
  <si>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</si>
  <si>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</si>
  <si>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</si>
  <si>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</si>
  <si>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</si>
  <si>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</si>
  <si>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</si>
  <si>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</si>
  <si>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</si>
  <si>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</si>
  <si>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</si>
  <si>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</si>
  <si>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</si>
  <si>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</si>
  <si>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</si>
  <si>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</si>
  <si>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</si>
  <si>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</si>
  <si>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</si>
  <si>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</si>
  <si>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</si>
  <si>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</si>
  <si>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</si>
  <si>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</si>
  <si>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</si>
  <si>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</si>
  <si>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</si>
  <si>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</si>
  <si>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</si>
  <si>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</si>
  <si>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</si>
  <si>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</si>
  <si>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</si>
  <si>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</si>
  <si>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</si>
  <si>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</si>
  <si>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</si>
  <si>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</si>
  <si>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</si>
  <si>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</si>
  <si>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</si>
  <si>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</si>
  <si>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</si>
  <si>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</si>
  <si>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</si>
  <si>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</si>
  <si>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</si>
  <si>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</si>
  <si>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</si>
  <si>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</si>
  <si>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</si>
  <si>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</si>
  <si>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</si>
  <si>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</si>
  <si>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</si>
  <si>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</si>
  <si>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</si>
  <si>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</si>
  <si>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</si>
  <si>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</si>
  <si>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</si>
  <si>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</si>
  <si>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</si>
  <si>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</si>
  <si>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</si>
  <si>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</si>
  <si>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</si>
  <si>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</si>
  <si>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</si>
  <si>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</si>
  <si>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</si>
  <si>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</si>
  <si>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</si>
  <si>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</si>
  <si>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</si>
  <si>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</si>
  <si>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</si>
  <si>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</si>
  <si>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</si>
  <si>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</si>
  <si>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</si>
  <si>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</si>
  <si>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</si>
  <si>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</si>
  <si>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</si>
  <si>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</si>
  <si>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</si>
  <si>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</si>
  <si>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</si>
  <si>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</si>
  <si>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</si>
  <si>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</si>
  <si>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</si>
  <si>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</si>
  <si>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</si>
  <si>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</si>
  <si>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</si>
  <si>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</si>
  <si>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</si>
  <si>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</si>
  <si>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</si>
  <si>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</si>
  <si>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</si>
  <si>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</si>
  <si>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</si>
  <si>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</si>
  <si>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</si>
  <si>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</si>
  <si>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</si>
  <si>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</si>
  <si>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</si>
  <si>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</si>
  <si>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</si>
  <si>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</si>
  <si>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</si>
  <si>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</si>
  <si>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</si>
  <si>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</si>
  <si>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</si>
  <si>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</si>
  <si>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</si>
  <si>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</si>
  <si>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</si>
  <si>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</si>
  <si>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</si>
  <si>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</si>
  <si>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</si>
  <si>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</si>
  <si>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</si>
  <si>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</si>
  <si>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</si>
  <si>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</si>
  <si>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</si>
  <si>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</si>
  <si>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</si>
  <si>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</si>
  <si>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</si>
  <si>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</si>
  <si>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</si>
  <si>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</si>
  <si>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</si>
  <si>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</si>
  <si>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</si>
  <si>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</si>
  <si>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</si>
  <si>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</si>
  <si>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</si>
  <si>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</si>
  <si>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</si>
  <si>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</si>
  <si>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</si>
  <si>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</si>
  <si>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</si>
  <si>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</si>
  <si>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</si>
  <si>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</si>
  <si>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</si>
  <si>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</si>
  <si>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</si>
  <si>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</si>
  <si>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</si>
  <si>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</si>
  <si>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</si>
  <si>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</si>
  <si>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</si>
  <si>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</si>
  <si>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</si>
  <si>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</si>
  <si>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</si>
  <si>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</si>
  <si>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</si>
  <si>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</si>
  <si>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</si>
  <si>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</si>
  <si>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</si>
  <si>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</si>
  <si>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</si>
  <si>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</si>
  <si>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</si>
  <si>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</si>
  <si>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</si>
  <si>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</si>
  <si>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</si>
  <si>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</si>
  <si>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</si>
  <si>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</si>
  <si>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</si>
  <si>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</si>
  <si>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</si>
  <si>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</si>
  <si>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</si>
  <si>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</si>
  <si>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</si>
  <si>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</si>
  <si>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</si>
  <si>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</si>
  <si>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</si>
  <si>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</si>
  <si>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</si>
  <si>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</si>
  <si>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</si>
  <si>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</si>
  <si>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</si>
  <si>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</si>
  <si>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</si>
  <si>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</si>
  <si>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</si>
  <si>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</si>
  <si>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</si>
  <si>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</si>
  <si>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</si>
  <si>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</si>
  <si>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</si>
  <si>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</si>
  <si>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</si>
  <si>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</si>
  <si>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</si>
  <si>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</si>
  <si>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</si>
  <si>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</si>
  <si>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</si>
  <si>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</si>
  <si>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</si>
  <si>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</si>
  <si>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</si>
  <si>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</si>
  <si>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</si>
  <si>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</si>
  <si>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</si>
  <si>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</si>
  <si>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</si>
  <si>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</si>
  <si>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</si>
  <si>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</si>
  <si>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</si>
  <si>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</si>
  <si>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</si>
  <si>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</si>
  <si>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</si>
  <si>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</si>
  <si>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</si>
  <si>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</si>
  <si>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</si>
  <si>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</si>
  <si>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</si>
  <si>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</si>
  <si>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</si>
  <si>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</si>
  <si>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</si>
  <si>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</si>
  <si>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</si>
  <si>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</si>
  <si>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</si>
  <si>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</si>
  <si>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</si>
  <si>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</si>
  <si>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</si>
  <si>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</si>
  <si>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</si>
  <si>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</si>
  <si>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</si>
  <si>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</si>
  <si>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</si>
  <si>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</si>
  <si>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</si>
  <si>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</si>
  <si>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</si>
  <si>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</si>
  <si>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</si>
  <si>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</si>
  <si>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</si>
  <si>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</si>
  <si>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</si>
  <si>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</si>
  <si>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</si>
  <si>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</si>
  <si>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</si>
  <si>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</si>
  <si>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</si>
  <si>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</si>
  <si>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</si>
  <si>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</si>
  <si>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</si>
  <si>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</si>
  <si>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</si>
  <si>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</si>
  <si>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</si>
  <si>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</si>
  <si>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</si>
  <si>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</si>
  <si>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</si>
  <si>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</si>
  <si>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</si>
  <si>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</si>
  <si>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</si>
  <si>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</si>
  <si>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</si>
  <si>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</si>
  <si>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</si>
  <si>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</si>
  <si>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</si>
  <si>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</si>
  <si>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</si>
  <si>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</si>
  <si>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</si>
  <si>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</si>
  <si>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</si>
  <si>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</si>
  <si>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</si>
  <si>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</si>
  <si>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</si>
  <si>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</si>
  <si>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</si>
  <si>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</si>
  <si>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</si>
  <si>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</si>
  <si>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</si>
  <si>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</si>
  <si>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</si>
  <si>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</si>
  <si>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</si>
  <si>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</si>
  <si>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</si>
  <si>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</si>
  <si>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</si>
  <si>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</si>
  <si>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</si>
  <si>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</si>
  <si>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</si>
  <si>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</si>
  <si>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</si>
  <si>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</si>
  <si>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</si>
  <si>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</si>
  <si>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</si>
  <si>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</si>
  <si>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</si>
  <si>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</si>
  <si>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</si>
  <si>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</si>
  <si>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</si>
  <si>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</si>
  <si>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</si>
  <si>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</si>
  <si>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</si>
  <si>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</si>
  <si>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</si>
  <si>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</si>
  <si>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</si>
  <si>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</si>
  <si>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</si>
  <si>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</si>
  <si>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</si>
  <si>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</si>
  <si>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</si>
  <si>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</si>
  <si>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</si>
  <si>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</si>
  <si>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</si>
  <si>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</si>
  <si>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</si>
  <si>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</si>
  <si>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</si>
  <si>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</si>
  <si>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</si>
  <si>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</si>
  <si>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</si>
  <si>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</si>
  <si>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</si>
  <si>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</si>
  <si>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</si>
  <si>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</si>
  <si>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</si>
  <si>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</si>
  <si>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</si>
  <si>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</si>
  <si>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</si>
  <si>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</si>
  <si>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</si>
  <si>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</si>
  <si>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</si>
  <si>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</si>
  <si>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</si>
  <si>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</si>
  <si>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</si>
  <si>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</si>
  <si>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</si>
  <si>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</si>
  <si>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</si>
  <si>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</si>
  <si>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</si>
  <si>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</si>
  <si>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</si>
  <si>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</si>
  <si>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</si>
  <si>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</si>
  <si>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</si>
  <si>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</si>
  <si>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</si>
  <si>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</si>
  <si>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</si>
  <si>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</si>
  <si>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</si>
  <si>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</si>
  <si>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</si>
  <si>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</si>
  <si>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</si>
  <si>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</si>
  <si>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</si>
  <si>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</si>
  <si>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</si>
  <si>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</si>
  <si>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</si>
  <si>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</si>
  <si>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</si>
  <si>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</si>
  <si>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</si>
  <si>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</si>
  <si>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</si>
  <si>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</si>
  <si>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</si>
  <si>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</si>
  <si>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</si>
  <si>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</si>
  <si>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</si>
  <si>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</si>
  <si>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</si>
  <si>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</si>
  <si>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</si>
  <si>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</si>
  <si>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</si>
  <si>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</si>
  <si>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</si>
  <si>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</si>
  <si>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</si>
  <si>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</si>
  <si>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</si>
  <si>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</si>
  <si>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</si>
  <si>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</si>
  <si>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</si>
  <si>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</si>
  <si>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</si>
  <si>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</si>
  <si>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</si>
  <si>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</si>
  <si>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</si>
  <si>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</si>
  <si>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</si>
  <si>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</si>
  <si>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</si>
  <si>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</si>
  <si>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</si>
  <si>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</si>
  <si>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</si>
  <si>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</si>
  <si>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</si>
  <si>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</si>
  <si>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</si>
  <si>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</si>
  <si>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</si>
  <si>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</si>
  <si>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</si>
  <si>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</si>
  <si>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</si>
  <si>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</si>
  <si>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</si>
  <si>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</si>
  <si>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</si>
  <si>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</si>
  <si>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</si>
  <si>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</si>
  <si>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</si>
  <si>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</si>
  <si>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</si>
  <si>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</si>
  <si>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</si>
  <si>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</si>
  <si>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</si>
  <si>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</si>
  <si>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</si>
  <si>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</si>
  <si>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</si>
  <si>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</si>
  <si>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</si>
  <si>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</si>
  <si>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</si>
  <si>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</si>
  <si>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</si>
  <si>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</si>
  <si>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</si>
  <si>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</si>
  <si>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</si>
  <si>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</si>
  <si>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</si>
  <si>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</si>
  <si>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</si>
  <si>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</si>
  <si>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</si>
  <si>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</si>
  <si>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</si>
  <si>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</si>
  <si>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</si>
  <si>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</si>
  <si>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</si>
  <si>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</si>
  <si>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</si>
  <si>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</si>
  <si>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</si>
  <si>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</si>
  <si>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</si>
  <si>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</si>
  <si>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</si>
  <si>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</si>
  <si>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</si>
  <si>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</si>
  <si>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</si>
  <si>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</si>
  <si>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</si>
  <si>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</si>
  <si>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</si>
  <si>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</si>
  <si>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</si>
  <si>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</si>
  <si>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</si>
  <si>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</si>
  <si>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</si>
  <si>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</si>
  <si>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</si>
  <si>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</si>
  <si>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</si>
  <si>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</si>
  <si>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</si>
  <si>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</si>
  <si>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</si>
  <si>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</si>
  <si>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</si>
  <si>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</si>
  <si>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</si>
  <si>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</si>
  <si>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</si>
  <si>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</si>
  <si>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</si>
  <si>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</si>
  <si>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</si>
  <si>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</si>
  <si>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</si>
  <si>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</si>
  <si>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</si>
  <si>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</si>
  <si>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</si>
  <si>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</si>
  <si>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</si>
  <si>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</si>
  <si>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</si>
  <si>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</si>
  <si>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</si>
  <si>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</si>
  <si>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</si>
  <si>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</si>
  <si>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</si>
  <si>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</si>
  <si>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</si>
  <si>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</si>
  <si>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</si>
  <si>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</si>
  <si>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</si>
  <si>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</si>
  <si>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</si>
  <si>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</si>
  <si>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</si>
  <si>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</si>
  <si>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</si>
  <si>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</si>
  <si>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</si>
  <si>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</si>
  <si>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</si>
  <si>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</si>
  <si>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</si>
  <si>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</si>
  <si>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</si>
  <si>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</si>
  <si>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</si>
  <si>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</si>
  <si>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</si>
  <si>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</si>
  <si>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</si>
  <si>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</si>
  <si>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</si>
  <si>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</si>
  <si>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</si>
  <si>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</si>
  <si>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</si>
  <si>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</si>
  <si>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</si>
  <si>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</si>
  <si>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</si>
  <si>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</si>
  <si>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</si>
  <si>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</si>
  <si>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</si>
  <si>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</si>
  <si>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</si>
  <si>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</si>
  <si>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</si>
  <si>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</si>
  <si>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</si>
  <si>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</si>
  <si>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</si>
  <si>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</si>
  <si>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</si>
  <si>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</si>
  <si>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</si>
  <si>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</si>
  <si>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</si>
  <si>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</si>
  <si>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</si>
  <si>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</si>
  <si>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</si>
  <si>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</si>
  <si>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</si>
  <si>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</si>
  <si>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</si>
  <si>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</si>
  <si>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</si>
  <si>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</si>
  <si>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</si>
  <si>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</si>
  <si>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</si>
  <si>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</si>
  <si>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</si>
  <si>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</si>
  <si>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</si>
  <si>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</si>
  <si>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</si>
  <si>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</si>
  <si>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</si>
  <si>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</si>
  <si>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</si>
  <si>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</si>
  <si>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</si>
  <si>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</si>
  <si>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</si>
  <si>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</si>
  <si>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</si>
  <si>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</si>
  <si>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</si>
  <si>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</si>
  <si>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</si>
  <si>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</si>
  <si>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</si>
  <si>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</si>
  <si>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</si>
  <si>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</si>
  <si>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</si>
  <si>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</si>
  <si>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</si>
  <si>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</si>
  <si>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</si>
  <si>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</si>
  <si>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</si>
  <si>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</si>
  <si>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</si>
  <si>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</si>
  <si>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</si>
  <si>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</si>
  <si>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</si>
  <si>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</si>
  <si>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</si>
  <si>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</si>
  <si>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</si>
  <si>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</si>
  <si>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</si>
  <si>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</si>
  <si>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</si>
  <si>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</si>
  <si>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</si>
  <si>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</si>
  <si>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</si>
  <si>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</si>
  <si>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</si>
  <si>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</si>
  <si>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</si>
  <si>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</si>
  <si>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</si>
  <si>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</si>
  <si>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</si>
  <si>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</si>
  <si>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</si>
  <si>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</si>
  <si>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</si>
  <si>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</si>
  <si>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</si>
  <si>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</si>
  <si>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</si>
  <si>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</si>
  <si>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</si>
  <si>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</si>
  <si>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</si>
  <si>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</si>
  <si>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</si>
  <si>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</si>
  <si>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</si>
  <si>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</si>
  <si>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</si>
  <si>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</si>
  <si>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</si>
  <si>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</si>
  <si>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</si>
  <si>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</si>
  <si>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</si>
  <si>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</si>
  <si>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</si>
  <si>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</si>
  <si>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</si>
  <si>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</si>
  <si>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</si>
  <si>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</si>
  <si>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</si>
  <si>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</si>
  <si>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</si>
  <si>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</si>
  <si>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</si>
  <si>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</si>
  <si>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</si>
  <si>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</si>
  <si>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</si>
  <si>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</si>
  <si>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</si>
  <si>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</si>
  <si>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</si>
  <si>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</si>
  <si>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</si>
  <si>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</si>
  <si>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</si>
  <si>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</si>
  <si>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</si>
  <si>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</si>
  <si>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</si>
  <si>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</si>
  <si>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</si>
  <si>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</si>
  <si>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</si>
  <si>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</si>
  <si>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</si>
  <si>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</si>
  <si>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</si>
  <si>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</si>
  <si>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</si>
  <si>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</si>
  <si>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</si>
  <si>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</si>
  <si>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</si>
  <si>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</si>
  <si>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</si>
  <si>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</si>
  <si>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</si>
  <si>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</si>
  <si>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</si>
  <si>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</si>
  <si>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</si>
  <si>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</si>
  <si>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</si>
  <si>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</si>
  <si>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</si>
  <si>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</si>
  <si>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</si>
  <si>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</si>
  <si>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</si>
  <si>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</si>
  <si>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</si>
  <si>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</si>
  <si>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</si>
  <si>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</si>
  <si>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</si>
  <si>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</si>
  <si>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</si>
  <si>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</si>
  <si>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</si>
  <si>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</si>
  <si>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</si>
  <si>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</si>
  <si>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</si>
  <si>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</si>
  <si>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</si>
  <si>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</si>
  <si>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</si>
  <si>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</si>
  <si>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</si>
  <si>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</si>
  <si>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</si>
  <si>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</si>
  <si>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</si>
  <si>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</si>
  <si>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</si>
  <si>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</si>
  <si>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</si>
  <si>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</si>
  <si>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</si>
  <si>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</si>
  <si>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</si>
  <si>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</si>
  <si>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</si>
  <si>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</si>
  <si>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</si>
  <si>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</si>
  <si>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</si>
  <si>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</si>
  <si>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</si>
  <si>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</si>
  <si>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</si>
  <si>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</si>
  <si>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</si>
  <si>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</si>
  <si>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</si>
  <si>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</si>
  <si>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</si>
  <si>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</si>
  <si>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</si>
  <si>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</si>
  <si>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</si>
  <si>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</si>
  <si>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</si>
  <si>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</si>
  <si>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</si>
  <si>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</si>
  <si>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</si>
  <si>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</si>
  <si>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</si>
  <si>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</si>
  <si>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</si>
  <si>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</si>
  <si>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</si>
  <si>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</si>
  <si>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</si>
  <si>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</si>
  <si>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</si>
  <si>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</si>
  <si>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</si>
  <si>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</si>
  <si>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</si>
  <si>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</si>
  <si>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</si>
  <si>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</si>
  <si>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</si>
  <si>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</si>
  <si>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</si>
  <si>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</si>
  <si>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</si>
  <si>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</si>
  <si>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</si>
  <si>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</si>
  <si>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</si>
  <si>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</si>
  <si>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</si>
  <si>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</si>
  <si>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</si>
  <si>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</si>
  <si>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</si>
  <si>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</si>
  <si>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</si>
  <si>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</si>
  <si>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</si>
  <si>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</si>
  <si>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</si>
  <si>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</si>
  <si>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</si>
  <si>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</si>
  <si>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</si>
  <si>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</si>
  <si>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</si>
  <si>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</si>
  <si>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</si>
  <si>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</si>
  <si>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</si>
  <si>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</si>
  <si>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</si>
  <si>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</si>
  <si>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</si>
  <si>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</si>
  <si>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</si>
  <si>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</si>
  <si>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</si>
  <si>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</si>
  <si>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</si>
  <si>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</si>
  <si>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</si>
  <si>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</si>
  <si>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</si>
  <si>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</si>
  <si>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</si>
  <si>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</si>
  <si>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</si>
  <si>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</si>
  <si>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</si>
  <si>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</si>
  <si>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</si>
  <si>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</si>
  <si>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</si>
  <si>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</si>
  <si>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</si>
  <si>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</si>
  <si>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</si>
  <si>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</si>
  <si>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</si>
  <si>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</si>
  <si>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</si>
  <si>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</si>
  <si>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</si>
  <si>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</si>
  <si>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</si>
  <si>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</si>
  <si>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</si>
  <si>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</si>
  <si>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</si>
  <si>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</si>
  <si>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</si>
  <si>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</si>
  <si>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</si>
  <si>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</si>
  <si>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</si>
  <si>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</si>
  <si>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</si>
  <si>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</si>
  <si>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</si>
  <si>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</si>
  <si>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</si>
  <si>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</si>
  <si>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</si>
  <si>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</si>
  <si>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</si>
  <si>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</si>
  <si>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</si>
  <si>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</si>
  <si>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</si>
  <si>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</si>
  <si>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</si>
  <si>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</si>
  <si>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</si>
  <si>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How long we take to ship orders</t>
  </si>
  <si>
    <t>Count of TX ID</t>
  </si>
  <si>
    <t>Sum of Quantity</t>
  </si>
  <si>
    <t>Sum of Amount</t>
  </si>
  <si>
    <t>Average of Rating C</t>
  </si>
  <si>
    <t>Average of Days to Deliver</t>
  </si>
  <si>
    <t>Values for Display</t>
  </si>
  <si>
    <t xml:space="preserve">Orders </t>
  </si>
  <si>
    <t>Qty</t>
  </si>
  <si>
    <t>Avg. Days</t>
  </si>
  <si>
    <t>For trends</t>
  </si>
  <si>
    <t>Row Labels</t>
  </si>
  <si>
    <t>Grand Total</t>
  </si>
  <si>
    <t>Column Labels</t>
  </si>
  <si>
    <t>Female</t>
  </si>
  <si>
    <t>Male</t>
  </si>
  <si>
    <t>Other</t>
  </si>
  <si>
    <t>Unknown</t>
  </si>
  <si>
    <t>For matrix</t>
  </si>
  <si>
    <t>Fe</t>
  </si>
  <si>
    <t>6 TO 10</t>
  </si>
  <si>
    <t>More than 10</t>
  </si>
  <si>
    <t>Products by quantity</t>
  </si>
  <si>
    <t>Geographical Analysis</t>
  </si>
  <si>
    <t>Shipment Duration Analysis</t>
  </si>
  <si>
    <t>Customer Satisfaction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</si>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</sst>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quot;₦&quot;#,##0"/>
    <numFmt numFmtId="169" formatCode="0.0%"/>
  </numFmts>
  <fonts count="6"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color theme="1"/>
      <name val="Aptos Narrow"/>
      <family val="2"/>
      <scheme val="minor"/>
    </font>
    <font>
      <b/>
      <sz val="11"/>
      <color theme="1"/>
      <name val="Aptos Narrow"/>
      <scheme val="minor"/>
    </font>
  </fonts>
  <fills count="10">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rgb="FF00B050"/>
        <bgColor indexed="64"/>
      </patternFill>
    </fill>
    <fill>
      <patternFill patternType="solid">
        <fgColor theme="4" tint="0.79998168889431442"/>
        <bgColor theme="4" tint="0.79998168889431442"/>
      </patternFill>
    </fill>
  </fills>
  <borders count="11">
    <border>
      <left/>
      <right/>
      <top/>
      <bottom/>
      <diagonal/>
    </border>
    <border>
      <left/>
      <right/>
      <top/>
      <bottom style="thin">
        <color theme="4" tint="0.39997558519241921"/>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3">
    <xf numFmtId="0" fontId="0" fillId="0" borderId="0"/>
    <xf numFmtId="0" fontId="3" fillId="0" borderId="0" applyNumberFormat="0" applyFill="0" applyBorder="0" applyAlignment="0" applyProtection="0"/>
    <xf numFmtId="9" fontId="4" fillId="0" borderId="0" applyFont="0" applyFill="0" applyBorder="0" applyAlignment="0" applyProtection="0"/>
  </cellStyleXfs>
  <cellXfs count="29">
    <xf numFmtId="0" fontId="0" fillId="0" borderId="0" xfId="0"/>
    <xf numFmtId="15" fontId="0" fillId="0" borderId="0" xfId="0" applyNumberFormat="1"/>
    <xf numFmtId="0" fontId="0" fillId="2" borderId="0" xfId="0"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5" fillId="8" borderId="0" xfId="0" applyFont="1" applyFill="1"/>
    <xf numFmtId="0" fontId="0" fillId="0" borderId="0" xfId="0" applyNumberFormat="1"/>
    <xf numFmtId="0" fontId="1" fillId="9" borderId="1" xfId="0" applyFont="1" applyFill="1" applyBorder="1"/>
    <xf numFmtId="0" fontId="0" fillId="0" borderId="0" xfId="0" pivotButton="1"/>
    <xf numFmtId="0" fontId="0" fillId="0" borderId="0" xfId="0" applyAlignment="1">
      <alignment horizontal="left"/>
    </xf>
    <xf numFmtId="168" fontId="0" fillId="0" borderId="0" xfId="0" applyNumberFormat="1"/>
    <xf numFmtId="10" fontId="0" fillId="0" borderId="0" xfId="0" applyNumberFormat="1"/>
    <xf numFmtId="0" fontId="0" fillId="0" borderId="2" xfId="0" applyBorder="1"/>
    <xf numFmtId="0" fontId="1" fillId="9" borderId="3" xfId="0" applyFont="1" applyFill="1" applyBorder="1"/>
    <xf numFmtId="0" fontId="1" fillId="9" borderId="4" xfId="0" applyFont="1" applyFill="1" applyBorder="1"/>
    <xf numFmtId="0" fontId="0" fillId="0" borderId="5" xfId="0" applyBorder="1"/>
    <xf numFmtId="169" fontId="0" fillId="0" borderId="6" xfId="2" applyNumberFormat="1" applyFont="1" applyBorder="1"/>
    <xf numFmtId="169" fontId="0" fillId="0" borderId="7" xfId="2" applyNumberFormat="1" applyFont="1" applyBorder="1"/>
    <xf numFmtId="0" fontId="0" fillId="0" borderId="8" xfId="0" applyBorder="1"/>
    <xf numFmtId="169" fontId="0" fillId="0" borderId="9" xfId="2" applyNumberFormat="1" applyFont="1" applyBorder="1"/>
    <xf numFmtId="169" fontId="0" fillId="0" borderId="10" xfId="2" applyNumberFormat="1" applyFont="1" applyBorder="1"/>
    <xf numFmtId="0" fontId="1" fillId="0" borderId="0" xfId="0" applyFont="1"/>
    <xf numFmtId="0" fontId="1" fillId="0" borderId="1" xfId="0" applyFont="1" applyBorder="1"/>
  </cellXfs>
  <cellStyles count="3">
    <cellStyle name="Hyperlink" xfId="1" builtinId="8"/>
    <cellStyle name="Normal" xfId="0" builtinId="0"/>
    <cellStyle name="Per cent" xfId="2" builtinId="5"/>
  </cellStyles>
  <dxfs count="19">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Last</a:t>
            </a:r>
            <a:r>
              <a:rPr lang="en-GB" baseline="0"/>
              <a:t> 13 Week Trends - Amount vs Qty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Pivot!$B$10</c:f>
              <c:strCache>
                <c:ptCount val="1"/>
                <c:pt idx="0">
                  <c:v>Sum of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Pivot!$B$11:$B$24</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C63B-E04E-88E9-41711549ED1D}"/>
            </c:ext>
          </c:extLst>
        </c:ser>
        <c:dLbls>
          <c:showLegendKey val="0"/>
          <c:showVal val="0"/>
          <c:showCatName val="0"/>
          <c:showSerName val="0"/>
          <c:showPercent val="0"/>
          <c:showBubbleSize val="0"/>
        </c:dLbls>
        <c:marker val="1"/>
        <c:smooth val="0"/>
        <c:axId val="983993407"/>
        <c:axId val="1234662975"/>
      </c:lineChart>
      <c:lineChart>
        <c:grouping val="standard"/>
        <c:varyColors val="0"/>
        <c:ser>
          <c:idx val="1"/>
          <c:order val="1"/>
          <c:tx>
            <c:strRef>
              <c:f>Pivot!$C$10</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Pivot!$C$11:$C$24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C63B-E04E-88E9-41711549ED1D}"/>
            </c:ext>
          </c:extLst>
        </c:ser>
        <c:dLbls>
          <c:showLegendKey val="0"/>
          <c:showVal val="0"/>
          <c:showCatName val="0"/>
          <c:showSerName val="0"/>
          <c:showPercent val="0"/>
          <c:showBubbleSize val="0"/>
        </c:dLbls>
        <c:marker val="1"/>
        <c:smooth val="0"/>
        <c:axId val="1057448255"/>
        <c:axId val="1057446463"/>
      </c:lineChart>
      <c:catAx>
        <c:axId val="98399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34662975"/>
        <c:crosses val="autoZero"/>
        <c:auto val="1"/>
        <c:lblAlgn val="ctr"/>
        <c:lblOffset val="100"/>
        <c:noMultiLvlLbl val="0"/>
      </c:catAx>
      <c:valAx>
        <c:axId val="1234662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3993407"/>
        <c:crosses val="autoZero"/>
        <c:crossBetween val="between"/>
      </c:valAx>
      <c:valAx>
        <c:axId val="10574464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7448255"/>
        <c:crosses val="max"/>
        <c:crossBetween val="between"/>
      </c:valAx>
      <c:catAx>
        <c:axId val="1057448255"/>
        <c:scaling>
          <c:orientation val="minMax"/>
        </c:scaling>
        <c:delete val="1"/>
        <c:axPos val="b"/>
        <c:numFmt formatCode="General" sourceLinked="1"/>
        <c:majorTickMark val="out"/>
        <c:minorTickMark val="none"/>
        <c:tickLblPos val="nextTo"/>
        <c:crossAx val="1057446463"/>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[ecommerce-blank.xlsx]Pivot!pvtQty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many they Buy?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Pivot!$A$28:$A$38</c:f>
              <c:multiLvlStrCache>
                <c:ptCount val="7"/>
                <c:lvl>
                  <c:pt idx="2">
                    <c:v>3</c:v>
                  </c:pt>
                  <c:pt idx="3">
                    <c:v>4</c:v>
                  </c:pt>
                  <c:pt idx="4">
                    <c:v>5</c:v>
                  </c:pt>
                </c:lvl>
                <c:lvl>
                  <c:pt idx="0">
                    <c:v>1</c:v>
                  </c:pt>
                  <c:pt idx="1">
                    <c:v>2</c:v>
                  </c:pt>
                  <c:pt idx="2">
                    <c:v>3</c:v>
                  </c:pt>
                  <c:pt idx="3">
                    <c:v>4</c:v>
                  </c:pt>
                  <c:pt idx="4">
                    <c:v>5</c:v>
                  </c:pt>
                  <c:pt idx="5">
                    <c:v>6 TO 10</c:v>
                  </c:pt>
                  <c:pt idx="6">
                    <c:v>More than 10</c:v>
                  </c:pt>
                </c:lvl>
              </c:multiLvlStrCache>
            </c:multiLvlStrRef>
          </c:cat>
          <c:val>
            <c:numRef>
              <c:f>Pivot!$B$28:$B$38</c:f>
              <c:numCache>
                <c:formatCode>General</c:formatCode>
                <c:ptCount val="7"/>
                <c:pt idx="0">
                  <c:v>166</c:v>
                </c:pt>
                <c:pt idx="1">
                  <c:v>197</c:v>
                </c:pt>
                <c:pt idx="2">
                  <c:v>123</c:v>
                </c:pt>
                <c:pt idx="3">
                  <c:v>87</c:v>
                </c:pt>
                <c:pt idx="4">
                  <c:v>77</c:v>
                </c:pt>
                <c:pt idx="5">
                  <c:v>134</c:v>
                </c:pt>
                <c:pt idx="6">
                  <c:v>84</c:v>
                </c:pt>
              </c:numCache>
            </c:numRef>
          </c:val>
          <c:extLst>
            <c:ext xmlns:c16="http://schemas.microsoft.com/office/drawing/2014/chart" uri="{C3380CC4-5D6E-409C-BE32-E72D297353CC}">
              <c16:uniqueId val="{00000000-C84A-D948-816C-67AD84EA4E5E}"/>
            </c:ext>
          </c:extLst>
        </c:ser>
        <c:dLbls>
          <c:showLegendKey val="0"/>
          <c:showVal val="0"/>
          <c:showCatName val="0"/>
          <c:showSerName val="0"/>
          <c:showPercent val="0"/>
          <c:showBubbleSize val="0"/>
        </c:dLbls>
        <c:gapWidth val="6"/>
        <c:overlap val="-43"/>
        <c:axId val="1057442431"/>
        <c:axId val="982196543"/>
      </c:barChart>
      <c:catAx>
        <c:axId val="105744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2196543"/>
        <c:crosses val="autoZero"/>
        <c:auto val="1"/>
        <c:lblAlgn val="ctr"/>
        <c:lblOffset val="100"/>
        <c:noMultiLvlLbl val="0"/>
      </c:catAx>
      <c:valAx>
        <c:axId val="982196543"/>
        <c:scaling>
          <c:orientation val="minMax"/>
        </c:scaling>
        <c:delete val="1"/>
        <c:axPos val="l"/>
        <c:numFmt formatCode="General" sourceLinked="1"/>
        <c:majorTickMark val="none"/>
        <c:minorTickMark val="none"/>
        <c:tickLblPos val="nextTo"/>
        <c:crossAx val="105744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[ecommerce-blank.xlsx]Pivot!pvtProduct</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Which Products are Popular?</a:t>
            </a:r>
            <a:r>
              <a:rPr lang="en-GB" baseline="0"/>
              <a:t> eakdown by Gender</a:t>
            </a:r>
            <a:endParaRPr lang="en-GB"/>
          </a:p>
        </c:rich>
      </c:tx>
      <c:layout>
        <c:manualLayout>
          <c:xMode val="edge"/>
          <c:yMode val="edge"/>
          <c:x val="1.8558565346795768E-2"/>
          <c:y val="1.91693290734824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Pivot!$F$10:$F$11</c:f>
              <c:strCache>
                <c:ptCount val="1"/>
                <c:pt idx="0">
                  <c:v>Female</c:v>
                </c:pt>
              </c:strCache>
            </c:strRef>
          </c:tx>
          <c:spPr>
            <a:solidFill>
              <a:schemeClr val="accent1"/>
            </a:solidFill>
            <a:ln>
              <a:noFill/>
            </a:ln>
            <a:effectLst/>
          </c:spPr>
          <c:invertIfNegative val="0"/>
          <c:cat>
            <c:strRef>
              <c:f>Pivot!$E$12:$E$32</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Pivot!$F$12:$F$32</c:f>
              <c:numCache>
                <c:formatCode>General</c:formatCode>
                <c:ptCount val="20"/>
                <c:pt idx="0">
                  <c:v>318</c:v>
                </c:pt>
                <c:pt idx="1">
                  <c:v>240</c:v>
                </c:pt>
                <c:pt idx="2">
                  <c:v>266</c:v>
                </c:pt>
                <c:pt idx="3">
                  <c:v>163</c:v>
                </c:pt>
                <c:pt idx="4">
                  <c:v>192</c:v>
                </c:pt>
                <c:pt idx="5">
                  <c:v>152</c:v>
                </c:pt>
                <c:pt idx="6">
                  <c:v>61</c:v>
                </c:pt>
                <c:pt idx="7">
                  <c:v>96</c:v>
                </c:pt>
                <c:pt idx="8">
                  <c:v>164</c:v>
                </c:pt>
                <c:pt idx="9">
                  <c:v>152</c:v>
                </c:pt>
                <c:pt idx="10">
                  <c:v>116</c:v>
                </c:pt>
                <c:pt idx="11">
                  <c:v>84</c:v>
                </c:pt>
                <c:pt idx="12">
                  <c:v>72</c:v>
                </c:pt>
                <c:pt idx="13">
                  <c:v>39</c:v>
                </c:pt>
                <c:pt idx="14">
                  <c:v>37</c:v>
                </c:pt>
                <c:pt idx="15">
                  <c:v>22</c:v>
                </c:pt>
                <c:pt idx="16">
                  <c:v>35</c:v>
                </c:pt>
                <c:pt idx="17">
                  <c:v>11</c:v>
                </c:pt>
                <c:pt idx="18">
                  <c:v>17</c:v>
                </c:pt>
                <c:pt idx="19">
                  <c:v>3</c:v>
                </c:pt>
              </c:numCache>
            </c:numRef>
          </c:val>
          <c:extLst>
            <c:ext xmlns:c16="http://schemas.microsoft.com/office/drawing/2014/chart" uri="{C3380CC4-5D6E-409C-BE32-E72D297353CC}">
              <c16:uniqueId val="{00000000-BBBA-6C4A-85D9-3AA5C01F9956}"/>
            </c:ext>
          </c:extLst>
        </c:ser>
        <c:ser>
          <c:idx val="1"/>
          <c:order val="1"/>
          <c:tx>
            <c:strRef>
              <c:f>Pivot!$G$10:$G$11</c:f>
              <c:strCache>
                <c:ptCount val="1"/>
                <c:pt idx="0">
                  <c:v>Male</c:v>
                </c:pt>
              </c:strCache>
            </c:strRef>
          </c:tx>
          <c:spPr>
            <a:solidFill>
              <a:schemeClr val="accent2"/>
            </a:solidFill>
            <a:ln>
              <a:noFill/>
            </a:ln>
            <a:effectLst/>
          </c:spPr>
          <c:invertIfNegative val="0"/>
          <c:cat>
            <c:strRef>
              <c:f>Pivot!$E$12:$E$32</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Pivot!$G$12:$G$32</c:f>
              <c:numCache>
                <c:formatCode>General</c:formatCode>
                <c:ptCount val="20"/>
                <c:pt idx="0">
                  <c:v>149</c:v>
                </c:pt>
                <c:pt idx="1">
                  <c:v>203</c:v>
                </c:pt>
                <c:pt idx="2">
                  <c:v>131</c:v>
                </c:pt>
                <c:pt idx="3">
                  <c:v>140</c:v>
                </c:pt>
                <c:pt idx="4">
                  <c:v>76</c:v>
                </c:pt>
                <c:pt idx="5">
                  <c:v>101</c:v>
                </c:pt>
                <c:pt idx="6">
                  <c:v>176</c:v>
                </c:pt>
                <c:pt idx="7">
                  <c:v>151</c:v>
                </c:pt>
                <c:pt idx="8">
                  <c:v>63</c:v>
                </c:pt>
                <c:pt idx="9">
                  <c:v>60</c:v>
                </c:pt>
                <c:pt idx="10">
                  <c:v>73</c:v>
                </c:pt>
                <c:pt idx="11">
                  <c:v>45</c:v>
                </c:pt>
                <c:pt idx="12">
                  <c:v>61</c:v>
                </c:pt>
                <c:pt idx="13">
                  <c:v>46</c:v>
                </c:pt>
                <c:pt idx="14">
                  <c:v>30</c:v>
                </c:pt>
                <c:pt idx="15">
                  <c:v>39</c:v>
                </c:pt>
                <c:pt idx="16">
                  <c:v>29</c:v>
                </c:pt>
                <c:pt idx="17">
                  <c:v>32</c:v>
                </c:pt>
              </c:numCache>
            </c:numRef>
          </c:val>
          <c:extLst>
            <c:ext xmlns:c16="http://schemas.microsoft.com/office/drawing/2014/chart" uri="{C3380CC4-5D6E-409C-BE32-E72D297353CC}">
              <c16:uniqueId val="{00000001-BBBA-6C4A-85D9-3AA5C01F9956}"/>
            </c:ext>
          </c:extLst>
        </c:ser>
        <c:ser>
          <c:idx val="2"/>
          <c:order val="2"/>
          <c:tx>
            <c:strRef>
              <c:f>Pivot!$H$10:$H$11</c:f>
              <c:strCache>
                <c:ptCount val="1"/>
                <c:pt idx="0">
                  <c:v>Other</c:v>
                </c:pt>
              </c:strCache>
            </c:strRef>
          </c:tx>
          <c:spPr>
            <a:solidFill>
              <a:schemeClr val="accent3"/>
            </a:solidFill>
            <a:ln>
              <a:noFill/>
            </a:ln>
            <a:effectLst/>
          </c:spPr>
          <c:invertIfNegative val="0"/>
          <c:cat>
            <c:strRef>
              <c:f>Pivot!$E$12:$E$32</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Pivot!$H$12:$H$32</c:f>
              <c:numCache>
                <c:formatCode>General</c:formatCode>
                <c:ptCount val="20"/>
                <c:pt idx="0">
                  <c:v>10</c:v>
                </c:pt>
                <c:pt idx="1">
                  <c:v>27</c:v>
                </c:pt>
                <c:pt idx="2">
                  <c:v>13</c:v>
                </c:pt>
                <c:pt idx="4">
                  <c:v>7</c:v>
                </c:pt>
                <c:pt idx="6">
                  <c:v>15</c:v>
                </c:pt>
                <c:pt idx="8">
                  <c:v>7</c:v>
                </c:pt>
                <c:pt idx="9">
                  <c:v>8</c:v>
                </c:pt>
                <c:pt idx="11">
                  <c:v>6</c:v>
                </c:pt>
                <c:pt idx="13">
                  <c:v>4</c:v>
                </c:pt>
                <c:pt idx="14">
                  <c:v>3</c:v>
                </c:pt>
                <c:pt idx="15">
                  <c:v>4</c:v>
                </c:pt>
                <c:pt idx="17">
                  <c:v>8</c:v>
                </c:pt>
                <c:pt idx="19">
                  <c:v>2</c:v>
                </c:pt>
              </c:numCache>
            </c:numRef>
          </c:val>
          <c:extLst>
            <c:ext xmlns:c16="http://schemas.microsoft.com/office/drawing/2014/chart" uri="{C3380CC4-5D6E-409C-BE32-E72D297353CC}">
              <c16:uniqueId val="{00000002-BBBA-6C4A-85D9-3AA5C01F9956}"/>
            </c:ext>
          </c:extLst>
        </c:ser>
        <c:ser>
          <c:idx val="3"/>
          <c:order val="3"/>
          <c:tx>
            <c:strRef>
              <c:f>Pivot!$I$10:$I$11</c:f>
              <c:strCache>
                <c:ptCount val="1"/>
                <c:pt idx="0">
                  <c:v>Unknown</c:v>
                </c:pt>
              </c:strCache>
            </c:strRef>
          </c:tx>
          <c:spPr>
            <a:solidFill>
              <a:schemeClr val="accent4"/>
            </a:solidFill>
            <a:ln>
              <a:noFill/>
            </a:ln>
            <a:effectLst/>
          </c:spPr>
          <c:invertIfNegative val="0"/>
          <c:cat>
            <c:strRef>
              <c:f>Pivot!$E$12:$E$32</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Pivot!$I$12:$I$32</c:f>
              <c:numCache>
                <c:formatCode>General</c:formatCode>
                <c:ptCount val="20"/>
                <c:pt idx="0">
                  <c:v>69</c:v>
                </c:pt>
                <c:pt idx="1">
                  <c:v>32</c:v>
                </c:pt>
                <c:pt idx="2">
                  <c:v>84</c:v>
                </c:pt>
                <c:pt idx="3">
                  <c:v>12</c:v>
                </c:pt>
                <c:pt idx="4">
                  <c:v>4</c:v>
                </c:pt>
                <c:pt idx="5">
                  <c:v>1</c:v>
                </c:pt>
                <c:pt idx="6">
                  <c:v>1</c:v>
                </c:pt>
                <c:pt idx="8">
                  <c:v>8</c:v>
                </c:pt>
                <c:pt idx="9">
                  <c:v>3</c:v>
                </c:pt>
                <c:pt idx="10">
                  <c:v>3</c:v>
                </c:pt>
                <c:pt idx="11">
                  <c:v>6</c:v>
                </c:pt>
                <c:pt idx="12">
                  <c:v>6</c:v>
                </c:pt>
                <c:pt idx="13">
                  <c:v>14</c:v>
                </c:pt>
                <c:pt idx="17">
                  <c:v>6</c:v>
                </c:pt>
                <c:pt idx="18">
                  <c:v>12</c:v>
                </c:pt>
              </c:numCache>
            </c:numRef>
          </c:val>
          <c:extLst>
            <c:ext xmlns:c16="http://schemas.microsoft.com/office/drawing/2014/chart" uri="{C3380CC4-5D6E-409C-BE32-E72D297353CC}">
              <c16:uniqueId val="{00000003-BBBA-6C4A-85D9-3AA5C01F9956}"/>
            </c:ext>
          </c:extLst>
        </c:ser>
        <c:dLbls>
          <c:showLegendKey val="0"/>
          <c:showVal val="0"/>
          <c:showCatName val="0"/>
          <c:showSerName val="0"/>
          <c:showPercent val="0"/>
          <c:showBubbleSize val="0"/>
        </c:dLbls>
        <c:gapWidth val="12"/>
        <c:overlap val="100"/>
        <c:axId val="1009915583"/>
        <c:axId val="1009920063"/>
      </c:barChart>
      <c:catAx>
        <c:axId val="1009915583"/>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09920063"/>
        <c:crosses val="autoZero"/>
        <c:auto val="1"/>
        <c:lblAlgn val="ctr"/>
        <c:lblOffset val="100"/>
        <c:noMultiLvlLbl val="0"/>
      </c:catAx>
      <c:valAx>
        <c:axId val="100992006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0991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[ecommerce-blank.xlsx]Pivot!pvtGender</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oftEdge rad="0"/>
          </a:effectLst>
        </c:spPr>
        <c:dLbl>
          <c:idx val="0"/>
          <c:layout>
            <c:manualLayout>
              <c:x val="0.10979373919723449"/>
              <c:y val="0.3035102482418705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Female</a:t>
                </a:r>
              </a:p>
              <a:p>
                <a:pPr>
                  <a:defRPr/>
                </a:pPr>
                <a:fld id="{D13DAB81-D1FE-A44B-A307-BBC11FA5C8E3}" type="VALUE">
                  <a:rPr lang="en-US"/>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a:softEdge rad="0"/>
          </a:effectLst>
        </c:spPr>
        <c:dLbl>
          <c:idx val="0"/>
          <c:layout>
            <c:manualLayout>
              <c:x val="-0.10695794123295564"/>
              <c:y val="0.3030579431387869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Male</a:t>
                </a:r>
              </a:p>
              <a:p>
                <a:pPr>
                  <a:defRPr/>
                </a:pPr>
                <a:fld id="{DD01205A-F411-1340-9ABD-84FEAACBEAA6}" type="VALUE">
                  <a:rPr lang="en-US"/>
                  <a:pPr>
                    <a:defRPr/>
                  </a:pPr>
                  <a:t>[VALUE]</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093143844824274"/>
                  <c:h val="0.19293923183266209"/>
                </c:manualLayout>
              </c15:layout>
              <c15:dlblFieldTable/>
              <c15:showDataLabelsRange val="0"/>
            </c:ext>
          </c:extLst>
        </c:dLbl>
      </c:pivotFmt>
      <c:pivotFmt>
        <c:idx val="9"/>
        <c:spPr>
          <a:solidFill>
            <a:schemeClr val="accent1"/>
          </a:solidFill>
          <a:ln w="19050">
            <a:solidFill>
              <a:schemeClr val="lt1"/>
            </a:solidFill>
          </a:ln>
          <a:effectLst>
            <a:softEdge rad="0"/>
          </a:effectLst>
        </c:spPr>
        <c:dLbl>
          <c:idx val="0"/>
          <c:layout>
            <c:manualLayout>
              <c:x val="-0.18217054263565896"/>
              <c:y val="-4.803493449781659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Other</a:t>
                </a:r>
              </a:p>
              <a:p>
                <a:pPr>
                  <a:defRPr/>
                </a:pPr>
                <a:fld id="{EE63C07C-DB7F-9D48-AC4A-E3B208047E12}" type="VALUE">
                  <a:rPr lang="en-US"/>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a:softEdge rad="0"/>
          </a:effectLst>
        </c:spPr>
        <c:dLbl>
          <c:idx val="0"/>
          <c:layout>
            <c:manualLayout>
              <c:x val="0.35899068277455359"/>
              <c:y val="-0.1353708646503558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Unknown</a:t>
                </a:r>
              </a:p>
              <a:p>
                <a:pPr>
                  <a:defRPr/>
                </a:pPr>
                <a:fld id="{1000AE9A-42F7-9847-BC5A-BAF42D69FD03}" type="VALUE">
                  <a:rPr lang="en-US"/>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0934911242603552"/>
                  <c:h val="0.27033864188029127"/>
                </c:manualLayout>
              </c15:layout>
              <c15:dlblFieldTable/>
              <c15:showDataLabelsRange val="0"/>
            </c:ext>
          </c:extLst>
        </c:dLbl>
      </c:pivotFmt>
    </c:pivotFmts>
    <c:plotArea>
      <c:layout/>
      <c:doughnutChart>
        <c:varyColors val="1"/>
        <c:ser>
          <c:idx val="0"/>
          <c:order val="0"/>
          <c:tx>
            <c:strRef>
              <c:f>Pivot!$N$10</c:f>
              <c:strCache>
                <c:ptCount val="1"/>
                <c:pt idx="0">
                  <c:v>Total</c:v>
                </c:pt>
              </c:strCache>
            </c:strRef>
          </c:tx>
          <c:spPr>
            <a:effectLst>
              <a:softEdge rad="0"/>
            </a:effectLst>
          </c:spPr>
          <c:dPt>
            <c:idx val="0"/>
            <c:bubble3D val="0"/>
            <c:spPr>
              <a:solidFill>
                <a:schemeClr val="accent1"/>
              </a:solidFill>
              <a:ln w="19050">
                <a:solidFill>
                  <a:schemeClr val="lt1"/>
                </a:solidFill>
              </a:ln>
              <a:effectLst>
                <a:softEdge rad="0"/>
              </a:effectLst>
            </c:spPr>
            <c:extLst>
              <c:ext xmlns:c16="http://schemas.microsoft.com/office/drawing/2014/chart" uri="{C3380CC4-5D6E-409C-BE32-E72D297353CC}">
                <c16:uniqueId val="{00000001-1872-0F41-92DF-3AD1E3BDC8F6}"/>
              </c:ext>
            </c:extLst>
          </c:dPt>
          <c:dPt>
            <c:idx val="1"/>
            <c:bubble3D val="0"/>
            <c:spPr>
              <a:solidFill>
                <a:schemeClr val="accent2"/>
              </a:solidFill>
              <a:ln w="19050">
                <a:solidFill>
                  <a:schemeClr val="lt1"/>
                </a:solidFill>
              </a:ln>
              <a:effectLst>
                <a:softEdge rad="0"/>
              </a:effectLst>
            </c:spPr>
            <c:extLst>
              <c:ext xmlns:c16="http://schemas.microsoft.com/office/drawing/2014/chart" uri="{C3380CC4-5D6E-409C-BE32-E72D297353CC}">
                <c16:uniqueId val="{00000003-1872-0F41-92DF-3AD1E3BDC8F6}"/>
              </c:ext>
            </c:extLst>
          </c:dPt>
          <c:dPt>
            <c:idx val="2"/>
            <c:bubble3D val="0"/>
            <c:spPr>
              <a:solidFill>
                <a:schemeClr val="accent3"/>
              </a:solidFill>
              <a:ln w="19050">
                <a:solidFill>
                  <a:schemeClr val="lt1"/>
                </a:solidFill>
              </a:ln>
              <a:effectLst>
                <a:softEdge rad="0"/>
              </a:effectLst>
            </c:spPr>
            <c:extLst>
              <c:ext xmlns:c16="http://schemas.microsoft.com/office/drawing/2014/chart" uri="{C3380CC4-5D6E-409C-BE32-E72D297353CC}">
                <c16:uniqueId val="{00000005-1872-0F41-92DF-3AD1E3BDC8F6}"/>
              </c:ext>
            </c:extLst>
          </c:dPt>
          <c:dPt>
            <c:idx val="3"/>
            <c:bubble3D val="0"/>
            <c:spPr>
              <a:solidFill>
                <a:schemeClr val="accent4"/>
              </a:solidFill>
              <a:ln w="19050">
                <a:solidFill>
                  <a:schemeClr val="lt1"/>
                </a:solidFill>
              </a:ln>
              <a:effectLst>
                <a:softEdge rad="0"/>
              </a:effectLst>
            </c:spPr>
            <c:extLst>
              <c:ext xmlns:c16="http://schemas.microsoft.com/office/drawing/2014/chart" uri="{C3380CC4-5D6E-409C-BE32-E72D297353CC}">
                <c16:uniqueId val="{00000007-1872-0F41-92DF-3AD1E3BDC8F6}"/>
              </c:ext>
            </c:extLst>
          </c:dPt>
          <c:dLbls>
            <c:dLbl>
              <c:idx val="0"/>
              <c:layout>
                <c:manualLayout>
                  <c:x val="0.10979373919723449"/>
                  <c:y val="0.30351024824187051"/>
                </c:manualLayout>
              </c:layout>
              <c:tx>
                <c:rich>
                  <a:bodyPr/>
                  <a:lstStyle/>
                  <a:p>
                    <a:r>
                      <a:rPr lang="en-US"/>
                      <a:t>Female</a:t>
                    </a:r>
                  </a:p>
                  <a:p>
                    <a:fld id="{D13DAB81-D1FE-A44B-A307-BBC11FA5C8E3}" type="VALUE">
                      <a:rPr lang="en-US"/>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872-0F41-92DF-3AD1E3BDC8F6}"/>
                </c:ext>
              </c:extLst>
            </c:dLbl>
            <c:dLbl>
              <c:idx val="1"/>
              <c:layout>
                <c:manualLayout>
                  <c:x val="-0.10695794123295564"/>
                  <c:y val="0.3030579431387869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Male</a:t>
                    </a:r>
                  </a:p>
                  <a:p>
                    <a:pPr>
                      <a:defRPr/>
                    </a:pPr>
                    <a:fld id="{DD01205A-F411-1340-9ABD-84FEAACBEAA6}" type="VALUE">
                      <a:rPr lang="en-US"/>
                      <a:pPr>
                        <a:defRPr/>
                      </a:pPr>
                      <a:t>[VALUE]</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093143844824274"/>
                      <c:h val="0.19293923183266209"/>
                    </c:manualLayout>
                  </c15:layout>
                  <c15:dlblFieldTable/>
                  <c15:showDataLabelsRange val="0"/>
                </c:ext>
                <c:ext xmlns:c16="http://schemas.microsoft.com/office/drawing/2014/chart" uri="{C3380CC4-5D6E-409C-BE32-E72D297353CC}">
                  <c16:uniqueId val="{00000003-1872-0F41-92DF-3AD1E3BDC8F6}"/>
                </c:ext>
              </c:extLst>
            </c:dLbl>
            <c:dLbl>
              <c:idx val="2"/>
              <c:layout>
                <c:manualLayout>
                  <c:x val="-0.18217054263565896"/>
                  <c:y val="-4.8034934497816595E-2"/>
                </c:manualLayout>
              </c:layout>
              <c:tx>
                <c:rich>
                  <a:bodyPr/>
                  <a:lstStyle/>
                  <a:p>
                    <a:r>
                      <a:rPr lang="en-US"/>
                      <a:t>Other</a:t>
                    </a:r>
                  </a:p>
                  <a:p>
                    <a:fld id="{EE63C07C-DB7F-9D48-AC4A-E3B208047E12}" type="VALUE">
                      <a:rPr lang="en-US"/>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872-0F41-92DF-3AD1E3BDC8F6}"/>
                </c:ext>
              </c:extLst>
            </c:dLbl>
            <c:dLbl>
              <c:idx val="3"/>
              <c:layout>
                <c:manualLayout>
                  <c:x val="0.35899068277455359"/>
                  <c:y val="-0.13537086465035583"/>
                </c:manualLayout>
              </c:layout>
              <c:tx>
                <c:rich>
                  <a:bodyPr/>
                  <a:lstStyle/>
                  <a:p>
                    <a:r>
                      <a:rPr lang="en-US"/>
                      <a:t>Unknown</a:t>
                    </a:r>
                  </a:p>
                  <a:p>
                    <a:fld id="{1000AE9A-42F7-9847-BC5A-BAF42D69FD03}" type="VALUE">
                      <a:rPr lang="en-US"/>
                      <a:pPr/>
                      <a:t>[VALUE]</a:t>
                    </a:fld>
                    <a:endParaRPr lang="en-GB"/>
                  </a:p>
                </c:rich>
              </c:tx>
              <c:showLegendKey val="0"/>
              <c:showVal val="1"/>
              <c:showCatName val="0"/>
              <c:showSerName val="0"/>
              <c:showPercent val="0"/>
              <c:showBubbleSize val="0"/>
              <c:extLst>
                <c:ext xmlns:c15="http://schemas.microsoft.com/office/drawing/2012/chart" uri="{CE6537A1-D6FC-4f65-9D91-7224C49458BB}">
                  <c15:layout>
                    <c:manualLayout>
                      <c:w val="0.30934911242603552"/>
                      <c:h val="0.27033864188029127"/>
                    </c:manualLayout>
                  </c15:layout>
                  <c15:dlblFieldTable/>
                  <c15:showDataLabelsRange val="0"/>
                </c:ext>
                <c:ext xmlns:c16="http://schemas.microsoft.com/office/drawing/2014/chart" uri="{C3380CC4-5D6E-409C-BE32-E72D297353CC}">
                  <c16:uniqueId val="{00000007-1872-0F41-92DF-3AD1E3BDC8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Pivot!$M$11:$M$15</c:f>
              <c:strCache>
                <c:ptCount val="4"/>
                <c:pt idx="0">
                  <c:v>Female</c:v>
                </c:pt>
                <c:pt idx="1">
                  <c:v>Male</c:v>
                </c:pt>
                <c:pt idx="2">
                  <c:v>Other</c:v>
                </c:pt>
                <c:pt idx="3">
                  <c:v>Unknown</c:v>
                </c:pt>
              </c:strCache>
            </c:strRef>
          </c:cat>
          <c:val>
            <c:numRef>
              <c:f>Pivot!$N$11:$N$15</c:f>
              <c:numCache>
                <c:formatCode>General</c:formatCode>
                <c:ptCount val="4"/>
                <c:pt idx="0">
                  <c:v>2240</c:v>
                </c:pt>
                <c:pt idx="1">
                  <c:v>1605</c:v>
                </c:pt>
                <c:pt idx="2">
                  <c:v>114</c:v>
                </c:pt>
                <c:pt idx="3">
                  <c:v>261</c:v>
                </c:pt>
              </c:numCache>
            </c:numRef>
          </c:val>
          <c:extLst>
            <c:ext xmlns:c16="http://schemas.microsoft.com/office/drawing/2014/chart" uri="{C3380CC4-5D6E-409C-BE32-E72D297353CC}">
              <c16:uniqueId val="{00000008-1872-0F41-92DF-3AD1E3BDC8F6}"/>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[ecommerce-blank.xlsx]Pivot!pvtDuration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long we take to 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Pivot!$B$44</c:f>
              <c:strCache>
                <c:ptCount val="1"/>
                <c:pt idx="0">
                  <c:v>Total</c:v>
                </c:pt>
              </c:strCache>
            </c:strRef>
          </c:tx>
          <c:spPr>
            <a:solidFill>
              <a:schemeClr val="accent1"/>
            </a:solidFill>
            <a:ln>
              <a:noFill/>
            </a:ln>
            <a:effectLst/>
          </c:spPr>
          <c:invertIfNegative val="0"/>
          <c:cat>
            <c:strRef>
              <c:f>Pivot!$A$45:$A$60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Pivot!$B$45:$B$60</c:f>
              <c:numCache>
                <c:formatCode>General</c:formatCode>
                <c:ptCount val="15"/>
                <c:pt idx="0">
                  <c:v>55</c:v>
                </c:pt>
                <c:pt idx="1">
                  <c:v>323</c:v>
                </c:pt>
                <c:pt idx="2">
                  <c:v>179</c:v>
                </c:pt>
                <c:pt idx="3">
                  <c:v>123</c:v>
                </c:pt>
                <c:pt idx="4">
                  <c:v>71</c:v>
                </c:pt>
                <c:pt idx="5">
                  <c:v>44</c:v>
                </c:pt>
                <c:pt idx="6">
                  <c:v>19</c:v>
                </c:pt>
                <c:pt idx="7">
                  <c:v>14</c:v>
                </c:pt>
                <c:pt idx="8">
                  <c:v>13</c:v>
                </c:pt>
                <c:pt idx="9">
                  <c:v>3</c:v>
                </c:pt>
                <c:pt idx="10">
                  <c:v>5</c:v>
                </c:pt>
                <c:pt idx="11">
                  <c:v>6</c:v>
                </c:pt>
                <c:pt idx="12">
                  <c:v>3</c:v>
                </c:pt>
                <c:pt idx="13">
                  <c:v>3</c:v>
                </c:pt>
                <c:pt idx="14">
                  <c:v>7</c:v>
                </c:pt>
              </c:numCache>
            </c:numRef>
          </c:val>
          <c:extLst>
            <c:ext xmlns:c16="http://schemas.microsoft.com/office/drawing/2014/chart" uri="{C3380CC4-5D6E-409C-BE32-E72D297353CC}">
              <c16:uniqueId val="{00000000-82B3-1F42-8738-BD93D7B8B362}"/>
            </c:ext>
          </c:extLst>
        </c:ser>
        <c:dLbls>
          <c:showLegendKey val="0"/>
          <c:showVal val="0"/>
          <c:showCatName val="0"/>
          <c:showSerName val="0"/>
          <c:showPercent val="0"/>
          <c:showBubbleSize val="0"/>
        </c:dLbls>
        <c:gapWidth val="4"/>
        <c:overlap val="-27"/>
        <c:axId val="1009924543"/>
        <c:axId val="1037433727"/>
      </c:barChart>
      <c:catAx>
        <c:axId val="100992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37433727"/>
        <c:crosses val="autoZero"/>
        <c:auto val="1"/>
        <c:lblAlgn val="ctr"/>
        <c:lblOffset val="100"/>
        <c:noMultiLvlLbl val="0"/>
      </c:catAx>
      <c:valAx>
        <c:axId val="103743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0992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[ecommerce-blank.xlsx]Sheet4!pvtRating</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How Satisfied</a:t>
            </a:r>
            <a:r>
              <a:rPr lang="en-GB" baseline="0"/>
              <a:t> are our Customers?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Sheet4!$B$18:$B$19</c:f>
              <c:strCache>
                <c:ptCount val="1"/>
                <c:pt idx="0">
                  <c:v>1</c:v>
                </c:pt>
              </c:strCache>
            </c:strRef>
          </c:tx>
          <c:spPr>
            <a:solidFill>
              <a:schemeClr val="accent1"/>
            </a:solidFill>
            <a:ln>
              <a:noFill/>
            </a:ln>
            <a:effectLst/>
          </c:spPr>
          <c:invertIfNegative val="0"/>
          <c:cat>
            <c:strRef>
              <c:f>Sheet4!$A$20:$A$23</c:f>
              <c:strCache>
                <c:ptCount val="3"/>
                <c:pt idx="0">
                  <c:v>Jan</c:v>
                </c:pt>
                <c:pt idx="1">
                  <c:v>Feb</c:v>
                </c:pt>
                <c:pt idx="2">
                  <c:v>Mar</c:v>
                </c:pt>
              </c:strCache>
            </c:strRef>
          </c:cat>
          <c:val>
            <c:numRef>
              <c:f>Sheet4!$B$20:$B$23</c:f>
              <c:numCache>
                <c:formatCode>General</c:formatCode>
                <c:ptCount val="3"/>
                <c:pt idx="0">
                  <c:v>2</c:v>
                </c:pt>
                <c:pt idx="1">
                  <c:v>5</c:v>
                </c:pt>
                <c:pt idx="2">
                  <c:v>2</c:v>
                </c:pt>
              </c:numCache>
            </c:numRef>
          </c:val>
          <c:extLst>
            <c:ext xmlns:c16="http://schemas.microsoft.com/office/drawing/2014/chart" uri="{C3380CC4-5D6E-409C-BE32-E72D297353CC}">
              <c16:uniqueId val="{00000000-F7C2-824B-AA84-7BA4DE4513B7}"/>
            </c:ext>
          </c:extLst>
        </c:ser>
        <c:ser>
          <c:idx val="1"/>
          <c:order val="1"/>
          <c:tx>
            <c:strRef>
              <c:f>Sheet4!$C$18:$C$19</c:f>
              <c:strCache>
                <c:ptCount val="1"/>
                <c:pt idx="0">
                  <c:v>2</c:v>
                </c:pt>
              </c:strCache>
            </c:strRef>
          </c:tx>
          <c:spPr>
            <a:solidFill>
              <a:schemeClr val="accent2"/>
            </a:solidFill>
            <a:ln>
              <a:noFill/>
            </a:ln>
            <a:effectLst/>
          </c:spPr>
          <c:invertIfNegative val="0"/>
          <c:cat>
            <c:strRef>
              <c:f>Sheet4!$A$20:$A$23</c:f>
              <c:strCache>
                <c:ptCount val="3"/>
                <c:pt idx="0">
                  <c:v>Jan</c:v>
                </c:pt>
                <c:pt idx="1">
                  <c:v>Feb</c:v>
                </c:pt>
                <c:pt idx="2">
                  <c:v>Mar</c:v>
                </c:pt>
              </c:strCache>
            </c:strRef>
          </c:cat>
          <c:val>
            <c:numRef>
              <c:f>Sheet4!$C$20:$C$23</c:f>
              <c:numCache>
                <c:formatCode>General</c:formatCode>
                <c:ptCount val="3"/>
                <c:pt idx="0">
                  <c:v>11</c:v>
                </c:pt>
                <c:pt idx="1">
                  <c:v>11</c:v>
                </c:pt>
                <c:pt idx="2">
                  <c:v>10</c:v>
                </c:pt>
              </c:numCache>
            </c:numRef>
          </c:val>
          <c:extLst>
            <c:ext xmlns:c16="http://schemas.microsoft.com/office/drawing/2014/chart" uri="{C3380CC4-5D6E-409C-BE32-E72D297353CC}">
              <c16:uniqueId val="{00000001-F7C2-824B-AA84-7BA4DE4513B7}"/>
            </c:ext>
          </c:extLst>
        </c:ser>
        <c:ser>
          <c:idx val="2"/>
          <c:order val="2"/>
          <c:tx>
            <c:strRef>
              <c:f>Sheet4!$D$18:$D$19</c:f>
              <c:strCache>
                <c:ptCount val="1"/>
                <c:pt idx="0">
                  <c:v>3</c:v>
                </c:pt>
              </c:strCache>
            </c:strRef>
          </c:tx>
          <c:spPr>
            <a:solidFill>
              <a:schemeClr val="accent3"/>
            </a:solidFill>
            <a:ln>
              <a:noFill/>
            </a:ln>
            <a:effectLst/>
          </c:spPr>
          <c:invertIfNegative val="0"/>
          <c:cat>
            <c:strRef>
              <c:f>Sheet4!$A$20:$A$23</c:f>
              <c:strCache>
                <c:ptCount val="3"/>
                <c:pt idx="0">
                  <c:v>Jan</c:v>
                </c:pt>
                <c:pt idx="1">
                  <c:v>Feb</c:v>
                </c:pt>
                <c:pt idx="2">
                  <c:v>Mar</c:v>
                </c:pt>
              </c:strCache>
            </c:strRef>
          </c:cat>
          <c:val>
            <c:numRef>
              <c:f>Sheet4!$D$20:$D$23</c:f>
              <c:numCache>
                <c:formatCode>General</c:formatCode>
                <c:ptCount val="3"/>
                <c:pt idx="0">
                  <c:v>39</c:v>
                </c:pt>
                <c:pt idx="1">
                  <c:v>70</c:v>
                </c:pt>
                <c:pt idx="2">
                  <c:v>64</c:v>
                </c:pt>
              </c:numCache>
            </c:numRef>
          </c:val>
          <c:extLst>
            <c:ext xmlns:c16="http://schemas.microsoft.com/office/drawing/2014/chart" uri="{C3380CC4-5D6E-409C-BE32-E72D297353CC}">
              <c16:uniqueId val="{00000002-F7C2-824B-AA84-7BA4DE4513B7}"/>
            </c:ext>
          </c:extLst>
        </c:ser>
        <c:ser>
          <c:idx val="3"/>
          <c:order val="3"/>
          <c:tx>
            <c:strRef>
              <c:f>Sheet4!$E$18:$E$19</c:f>
              <c:strCache>
                <c:ptCount val="1"/>
                <c:pt idx="0">
                  <c:v>4</c:v>
                </c:pt>
              </c:strCache>
            </c:strRef>
          </c:tx>
          <c:spPr>
            <a:solidFill>
              <a:schemeClr val="accent4"/>
            </a:solidFill>
            <a:ln>
              <a:noFill/>
            </a:ln>
            <a:effectLst/>
          </c:spPr>
          <c:invertIfNegative val="0"/>
          <c:cat>
            <c:strRef>
              <c:f>Sheet4!$A$20:$A$23</c:f>
              <c:strCache>
                <c:ptCount val="3"/>
                <c:pt idx="0">
                  <c:v>Jan</c:v>
                </c:pt>
                <c:pt idx="1">
                  <c:v>Feb</c:v>
                </c:pt>
                <c:pt idx="2">
                  <c:v>Mar</c:v>
                </c:pt>
              </c:strCache>
            </c:strRef>
          </c:cat>
          <c:val>
            <c:numRef>
              <c:f>Sheet4!$E$20:$E$23</c:f>
              <c:numCache>
                <c:formatCode>General</c:formatCode>
                <c:ptCount val="3"/>
                <c:pt idx="0">
                  <c:v>113</c:v>
                </c:pt>
                <c:pt idx="1">
                  <c:v>150</c:v>
                </c:pt>
                <c:pt idx="2">
                  <c:v>130</c:v>
                </c:pt>
              </c:numCache>
            </c:numRef>
          </c:val>
          <c:extLst>
            <c:ext xmlns:c16="http://schemas.microsoft.com/office/drawing/2014/chart" uri="{C3380CC4-5D6E-409C-BE32-E72D297353CC}">
              <c16:uniqueId val="{00000005-F7C2-824B-AA84-7BA4DE4513B7}"/>
            </c:ext>
          </c:extLst>
        </c:ser>
        <c:ser>
          <c:idx val="4"/>
          <c:order val="4"/>
          <c:tx>
            <c:strRef>
              <c:f>Sheet4!$F$18:$F$19</c:f>
              <c:strCache>
                <c:ptCount val="1"/>
                <c:pt idx="0">
                  <c:v>5</c:v>
                </c:pt>
              </c:strCache>
            </c:strRef>
          </c:tx>
          <c:spPr>
            <a:solidFill>
              <a:schemeClr val="accent5"/>
            </a:solidFill>
            <a:ln>
              <a:noFill/>
            </a:ln>
            <a:effectLst/>
          </c:spPr>
          <c:invertIfNegative val="0"/>
          <c:cat>
            <c:strRef>
              <c:f>Sheet4!$A$20:$A$23</c:f>
              <c:strCache>
                <c:ptCount val="3"/>
                <c:pt idx="0">
                  <c:v>Jan</c:v>
                </c:pt>
                <c:pt idx="1">
                  <c:v>Feb</c:v>
                </c:pt>
                <c:pt idx="2">
                  <c:v>Mar</c:v>
                </c:pt>
              </c:strCache>
            </c:strRef>
          </c:cat>
          <c:val>
            <c:numRef>
              <c:f>Sheet4!$F$20:$F$23</c:f>
              <c:numCache>
                <c:formatCode>General</c:formatCode>
                <c:ptCount val="3"/>
                <c:pt idx="0">
                  <c:v>92</c:v>
                </c:pt>
                <c:pt idx="1">
                  <c:v>84</c:v>
                </c:pt>
                <c:pt idx="2">
                  <c:v>85</c:v>
                </c:pt>
              </c:numCache>
            </c:numRef>
          </c:val>
          <c:extLst>
            <c:ext xmlns:c16="http://schemas.microsoft.com/office/drawing/2014/chart" uri="{C3380CC4-5D6E-409C-BE32-E72D297353CC}">
              <c16:uniqueId val="{00000008-F7C2-824B-AA84-7BA4DE4513B7}"/>
            </c:ext>
          </c:extLst>
        </c:ser>
        <c:dLbls>
          <c:showLegendKey val="0"/>
          <c:showVal val="0"/>
          <c:showCatName val="0"/>
          <c:showSerName val="0"/>
          <c:showPercent val="0"/>
          <c:showBubbleSize val="0"/>
        </c:dLbls>
        <c:gapWidth val="219"/>
        <c:overlap val="-27"/>
        <c:axId val="1040068415"/>
        <c:axId val="919909055"/>
      </c:barChart>
      <c:catAx>
        <c:axId val="10400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9909055"/>
        <c:crosses val="autoZero"/>
        <c:auto val="1"/>
        <c:lblAlgn val="ctr"/>
        <c:lblOffset val="100"/>
        <c:noMultiLvlLbl val="0"/>
      </c:catAx>
      <c:valAx>
        <c:axId val="91990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4006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Where do Our Customers Live?</a:t>
          </a:r>
        </a:p>
      </cx:txPr>
    </cx:title>
    <cx:plotArea>
      <cx:plotAreaRegion>
        <cx:plotSurface>
          <cx:spPr>
            <a:ln w="41275">
              <a:solidFill>
                <a:schemeClr val="lt1"/>
              </a:solidFill>
            </a:ln>
          </cx:spPr>
        </cx:plotSurface>
        <cx:series layoutId="regionMap" uniqueId="{BB1DE50B-C211-3847-A692-2D952474BAF4}">
          <cx:tx>
            <cx:txData>
              <cx:f>_xlchart.v5.6</cx:f>
              <cx:v>Sum of Quantity</cx:v>
            </cx:txData>
          </cx:tx>
          <cx:spPr>
            <a:ln>
              <a:solidFill>
                <a:schemeClr val="tx1"/>
              </a:solidFill>
            </a:ln>
          </cx:spPr>
          <cx:dataId val="0"/>
          <cx:layoutPr>
            <cx:geography cultureLanguage="en-GB" cultureRegion="NG" attribution="Powered by Bing">
              <cx:geoCache provider="{E9337A44-BEBE-4D9F-B70C-5C5E7DAFC167}">
                <cx:binary>7H1pb9tI8vdXCfJ66WGz78XMAtOkDsu2fOd6Qyi2wpvN+/r0T8l2MpLseGVAxoMV/kqAxKJVKnb/
WHdV/3nX/fsuXi6KD10Sp+W/77q/PvpVlf37jz/KO3+ZLMqjJLgrdKl/VEd3OvlD//gR3C3/uC8W
bZB6f1gmIn/c+YuiWnYf//MnUPOW+lTfLapAp5f1suivlmUdV+Ur11689GFxnwSpE5RVEdxV6K+P
9iIOfugiDRYfN69Zf338qmP9wdZ1WvUfPyzTKqj6mz5b/vVxg4j18cMf29/1jK8PMbBe1ffwYSyO
GOdEEpN+/BDr1Ht630AWOoILHCGGfn7ffJHAR9YY+deHfzj+14fbNKiW9x+uq0W1LH9+5kUeHzhc
3N8Xy7KEG334d3fCGzcMi/b3f1msu9WirTbJg/366+MWm0GpH1a16G29WpHb64cl/GNzm//z59Yb
sKhb76whYXsH/tulzc3+L0D4BJtfF4t3wAI5soQpsIm5fHiJLUggeWRJjExmwpVHCD5CYpOl/aLi
DbR3AMYmtY8fDgwbN0UAD2G/f2wQ84hji1NO2SM2+BY2LOtoJUQQ3hYXmyztFxtvoL0DNjapHR42
lv4ieQexAdBAnDGTWugRGvI5NCxMEGHIMlevLX1ys87XnvGxM+ld4LFO7ODQAVo7Dcp4UZf7Fx6Y
HzFickwZfgCACVbKtq1hmhbBmG8plmdc7RcfbyO/A0aeETw4nNzU8aJYvgNG2BHG5kpCyEeMgJTY
wMiD8SGEQBRvGh8bHO0XH7uT3gEbG8QODhfXOl6k7+OgWBQRwfmT7NjGBRgeJpGCmoRt4mKDo/3i
YnfSO+Big9jh4WKRVmB0gNB4B9MDFAvGhEtsipc9FnBiVyKDUALu7brHcv2MrT0j5G30d4HJM4qH
iJUPp3VQfjj/HpTZewgTCh6uxZAk4mUlY5lHYMmaCFlgxG7h5QXW9o6Zt37Hbrh5gerhYaeuqmXx
DnaJPELYsiyIh/1WxLCVhiJyW/+sc7RnpOxMeheArBM7PFws0g8zvcjrIH0HcPAjCSERYpFHz9YE
03TDaAX9Y0kLsCHpg8DZcn1BC20xt2ecvI3+LmB5RvHgEHO6iN7Dv5FgpmLETTBWHl7PfGAIoCGK
mOBbcmSNn/2iY1fCO8BijdTB4WH1kI6LRXoXlHf6p1XwYlrjjakXfsTBDOFgoP42bgZyBVGBXzBG
fnH0JNX2C42Ne97lG3bAyEs0DxIsTrD03sN4tY44Am0jrWd5GX6EGBZIYPqIpJ8ofczOrBZ+naf9
Q2Vn6jvCZJ3e4UFEp/o94vCQyiVYMskt/qhhnhkjDwBihAiyBZB1jvaMjp1J7wKNdWIHh4uzBSTv
3sdG5QTkhol/48BYRxQjwbjcCr6vM7RfVOxMeQdQrNM6OEysRLdaFumiuA/eJbpKjhBk/EFzPFml
2zIDcXBgiCn5CybIM8b2C5IX7/3Vr9gBLS8SPTjYfK2/v0e0FUIhBFGK5JOCeebCoCMK7osgbCtF
s8bPqxv4GHF70bb+TcnQPzf6KuEdkLHG48Hh4RH1UBnyHmYpOxIUAmDWT+PzWfofHRHTMhkUAGyZ
HQ/CbY2rV7fwzdh4dtOvkt8BIc8IHhxOLuLF3bsEUcWRABUCabyn5O62moE4mckhPGJav1zh9ej7
Bl+vbuObUbI76R0QskHs4NAxXzaL+/fRKxazOBQePgZJX4qimpCzoc9C7Bsc7RcXu5PeARcbxA4O
F1ADvGiWxeI9KofEEZIMki/8dyYHJOyEKaG+bEu5bDO1X3S8ifoOANmmd3AYuQoAIWVw/x6RdXwk
hUkxhsTtw2u7QgR8GAz4sdC2E7PN1H4x8ibqO2Bkm97BYWTlyWe6fA8Nw48g6AXly+IpT/cMIvJI
MsIFhM5eiqBucbZfnLyF+A4w2SJ3eCjRKST6l+9Q444Z9MJANww2fxdARUeMMvBuGXi+6/bp2SZP
e8bHG4jvgo9NcoeIj/fwcsWRRSkX7Geubrv/YVWeakEmDwTIM2z85GfvuNiJ8G6Y+Enq4PAAXjsU
IKpF8f19ShDJESRpV9Hz33Q/ADCYFND/gJ86Zzbh8RJ7+8XJm79hB8C8RPN/Ajmv93tt3PmqDe/v
n5v1QkzyrZ2WEEmnhDHAyW/MVAAKguQdxFhfskHARXjqDd290/KxW/VZo+UrpDZW4HEBXl+y/7n2
ybNlcQddqg89n/0r2wsq/m2dtOBlmEyyXypiO0sPtaVEQOwccfLTTdmwIdb52q8E2LjlV0m/sP0b
b0Ef8gax/4lnfuMO/ktz7XVQRkGv6/3jg0A/NYZiHos95WGfxcmtIwYtUtTczp5s8fTqBr45/vkW
4hsL+XLj9Ra5g8PH2eIeIl37Rwf4HhDnwhR81Je1A0gPAAZ4sWjbvlznaL/Y2LjZV0nvgIwNYgeH
i+vFXQHTEdJ3ybCJI8qZhM1/Ck5s+x6QPYEJDvAHv6hZnvH26la+XYJs3/qr5HdAyjN+Dw4tZ/pe
3+1fiICKIdKUVKInVwNi4pvl6OYRFKtDHgVtJejXGXp1+96Mjp0p7wCMdVqHh4llCqB4nyqfVeEG
+BSco98oF3xkmZxhLEG0PG7xY+no2RZTe8bGW6jvgo8tegeHkdNFWS7foUYQRjhAYQ9k55/C488z
sJBmg8sE4hybANngaL/o2J30DtDYIHZ4uNDlh79Tbxkv3yMHS45gtoeFBXmqLt92bBHERmF2A8yK
eoybbzU5nT5jbs84eRv9XcDyjOLBIQYCeB/OYE7XP2HfVzT7mwMh4KZw6Mp+wsszc9VahcpBI5Et
pGwztV+cvIn6DijZpndwGDlOsmURLOL9G6oYOhGgjYWuKr4eXtv1YIgeQSQESk35Y1J/CyhbnO0X
J28hvgNMtsgdHEpOYETie2gdmAcDVT/QO/skRbbDZau8ClyDvuwtk2Sdof0iY2fKO8BindbBYeLv
ZHGv36MZXxyBmcFMa9XBtO3ZAlhgOuHT+KAtgbHB0H5BsTvpHVCxQezgYHECnSzvoEwolHdB5AuS
ay97tyApTCQg5mFtS4p/+NkvJtZu9FXCOyBijdTB4eE47d/D/oSGBNOiENBYxTxWry1ZAf4KZFgZ
g8brTWd2jZ9Xt+0VU/nlNpVdCe+AhzVSB4eHaZ181/F9tX8ZsRpfKqADhVjPQqLQAccQDJCynip7
NiGxxdJ+YfEW4jtAY4vcwcHjIq5hVvf+wYGh+BMzTi38VHjxzGE1YbatgLg63poitsHRfrGxO+kd
kLFB7OBw8XcMmbd3aUzhoEkISIafKftnwIBIBrgofLsedJOj/QLjDbR3QMYmtYODxjnMbfHep+fg
oZ1NsCcb41lMFKBDwRlh29OONzjaLzJ2J70DMDaIHRwunGX8Ya7hQIf9a5NVnQ+F8KcFLsfD65nQ
gDH7MAoKhMZWFfk2U/tFx5uo7wCQbXoHhxFbx/W7NKNApfiqY42hp1KfZ230MNEWhjIw6HjcNEY3
ONovOnYnvQM0NogdHC7mi+w9CsAgiQajewjEM18OicOcY3BRIMwhtsTGGj/7xcSuhHdAxBqpg8MD
5IFWE46Leti/MlmVBXI4OsH8WdGzbWespl9D2wlMTd/qf33G1X6x8TbyOyDkGcHDw4m/KFdA2fcR
ThDboBya0gT+XY+0dQTD4UwBpceb+uR6naM942Nn0rtgY53YweFiDKdgvctsJ7YqOIcsKvp9ZxIX
FP6gLTtjg6P94mJ30jvgYoPYweHChkbNh1Lzd5EaMC1wlRSRcObKo5vygmZBUHJMOdqKkr/A134x
8tYv2AEpL5A8OLxcB8viXVoTJNRimBjCYI/V5S8VB8JF6IGEQzhWr63c6wZf+0XK7qR3wMgGsYND
xyRepu+RfAVwWHDsm3yeWLEgyyYQnPq05a+sc7JfOOxMeQc0rNM6ODDc1BDbSNJ3iH7BiSxSwMRI
GHn/6MaCMNgu1ABRgpCwtloQtnjaLzLeQnwHcGyROzh8jOIPji6ghmf/3grYHdySDJJtj2bHs+w8
NLqBRQKj4kDpvKBNtlnbL07eRH0HoGzTOzik/B1nwbvIETiXGNKtECP9XYJFwvHEnMNMjq1h1hsc
7Rcdu5PeARobxA4OF2p1qMw7SA8wN2DS6KrY6zdeC4yghUIwOMBpywpdZ2i/qNiZ8g6gWKf1/wcT
vz/U+tcx4s6iWoweDiBfO9f69as/D8Te+uhTr9kLwzV+2YzH9399hIg4piaF6NWviQwrQhudaqvx
vT+jW5ufWULY7a+PDweaQ5iUwLjAVSkQXp2i0C5/XYKhTjAgnWMsoMcJvj2F7KAP56NDlTGGRMxq
fhz8Cl91X5e6frgk4MAWmJ0NI38sUFcEi1+Hw1/ouPd0+mtNnn7+kNbJhQ7SqgTCpvnxQ/b4eyt+
4f5g8hRHMJ4fWidA8CG43exucbUqr4Yl+FdcFZXZ6c48r0L9xZUpnbAIGyeWUWcKDO3skupWT+uU
yHkXueVY6wDZVUlmhaapatMuVwGR9LQohloRETWqbNmkaevrWHTZWTEYdtaYRFXiDjWR6VhJO8Ws
dp2BtcfSFeOAZ6aTBd6kLt1YpbJPbN6S2zYtpiTw05vc82rby7I71ooTXWe3BSKZTRIcKObld3Ev
I0eXJFV52067rOtsb9B+egm+5QSFhFwYmJ24rJWjqjVdO2kN1zFQUdtxnF/0brXgtXfnJqIdW31q
jrw+y49FKhOVa+OqikV8IasCqYT5UsW4oMrtOXfcgBHbM4ZIpW5/4XekGBUS35cBu/RpPhdV4KvM
j74EFr6ptMwcI7SWWUS7kTt4t0WTjoK8PK6Z4atkQFM3l/emGaUq9P1pJLvL1AzPSmZ9TVLvJBzk
DQozruhQaVVY5k3GQ0sNsAmVn1V27LqpbVV00ddlZ5e8/CLaOlJlFiCVU+a0xLwQMUGO7waXgWyQ
MpJWtLO+Nwu7T7MfZpHNTJbOxRCcNL32jnFYXtVMFqqjZqOGIiltzmIVsthQPIsdPkSdyg2jzmHD
LF4oWcVlNBW6SEZBWopzaWX9JE6FpRoWHqM0l2deWSytvDGVHLh3adSRqYaA3kmrieZ5b/2INe2Z
Kpg2HT+05Dz2C89O0yJSbkQ9p6JJNE7jNJt5kT73kyKzzVict4aubBh/Yyqv1z+SiGBVIj2rC2ue
6Sy1azwUqgpIoVCtU4WoMQm7htgNqr+xzP8URVENSRZp55afOoPlw7p5sLhxGmolyuETD3qFXP09
8dxJDaGrGUmNSySyH8TvR7XfTeq8E3YascI2qwIfszg/zlgy6yo6Ih4+71F0TnDd2TKWTJk6/Gy2
7i1NjHJaRVLbvsFvi8qjwLZ16mZWqQxR1yrPk1DVpnmV9NXMbINJHoVXQeCNWB1/bc3iO5WFtlGE
Sqcvm7kootopWFsobaZnVMDiUmLMmhiTCTPdZFzLPnJSj5+aOboT1oCdsuo/Z9iqVYOycVYOWOlq
yJ2+a44jdzDtJjXnbdx+92GtRwxnrp2yIFfayr7gNDuTuhwxocehj0slLPeuMtsxL/JEGXGb2x3X
2o7C+qTro9zuZRzZaU/vq5aetbnVqUSEp7lbWHaQJZEdWdYk9MtvIsxPkiS9RdHwCRnlJfAXq4FQ
JVt5VnRp7ADDjjc0rSNRdCbyrlP1YF6VEn/rK5mde8SP7aAzupkR9caxTtrCSZvgtInya1IbSz+L
rgRLqZ0lJBGKYLc8djlQGQqfThNORoWb106Ijfg4SazL0LRSBWO2mJ2jclCG5pGdaABxL+LGtjx+
HuoyBvZ07Lh+HKnO6y5D6HdVLjXvxIBC+0G9POm/DQl+p7O+CDy/ehTov378z41O4O+fq8/88+af
Gz9NlnrVSl1u/9LGZ4Du0/eu9NrGD88U7W9U6dWyrOPqNxffpmchG/CKntXxr0Ow1vTsKoPwj56F
OKBcTSqBADNZHdf8S89aMCwNwkXmqomDw3//0bOgTGEwgeB0pVLBvIOqmX/0LIYCXSawkNChDEP4
3qJnoXjvmZ4VJoN+VfAvuCWgD21Tz1ZFG6axFXbnWeUaKhOVw93iprIS3w6tvnIGlOqboEHxuVUl
yXVZu8XUMFE9rQcX2ajulCe1W6mc4DmGWU+jKk46u+fhEg+ssSsYhX/i5813WbfZje7h6YzyuLuQ
npfZ8EhxW9auviFlc1aYNVdVKp0m8PV54uW5atvUu0IeTyc1uNAjr3GRUyJ0C6opnsYxriehxJOM
1se4FzdeXhfjjoSWw5osOI+DLrEJk98Mk7VT2YpP6WAFtzlp9ZkPOnVcDbK2jSjtbARLcB4g4Y47
s5LTXGt67rUWU1Uik2mbcenEHpbTLB0q5Xn8iy6zVpEsBMOgTk7rvJ9E0vjaQvJJVbq2paahTX3Q
XjUZRdwzR5bXzKLCOGm0+ASreaa1mymz0pXSrE5UGvnfaEMWHZOdAsPms5dHnwuaxqPM91rlesF1
ReCBxrHBFE4Rt5nnTaOhyacGS5bY82PVpWzGCitQ1ZDWStIwHFcG9ca+25oqpcNX2OjQliy71oY7
J3H/HfTqFLtxBneC792+vDDKtDmNhChUUQ3mKG/FHA8SRJ07zKmGLa2yzsn79iJK8HcLF5+HNroz
3AzEu+/Porg7Z63rgypGlUKeCTqjtY5XU37suO5Kp/XkORWisq2ETFnJTnWXiJHm2FUU+V8zb7iE
UNpJmHNfGd1gqCaNpAJ8dDYTeSTOcW+G+DvYprQ/5lUZjbjvnRguGRK7QIXnxLQolc/p0iijcVAL
opDRj9ng5sqVIT0zm3jWhEGhOE1DZSXoFHMaqrhpQuWayHc8KoJJT6ORyJFQpTFYVwWljd2IIrWJ
F93lVkZU7wf9KEj6eqRDOQb7KFQsGmCRg9I9Nvoytz0aIbuFB9w2AanYy67iNO0A2eS4E7JUWZSY
N6nvlsolZIp02qmChq3ikiWO5bb2QMxU4d5d9r01DQxBjyNKb4rK/WalaWXzCNtgOM9JSePjllCm
krY2FY/ZsSEKcs6rXqtOFJWdoYCNu4JcNxFoPreip2bQZrZMe2mbBp0VcR3MUK9PchKj41wHsEuV
tGP8pUTuudF643bg3ZiAqq/yIohsmRSTso8yMGx8R+Txdz+mY6EzeNThMcky3sHCJt8yv5x1vM2O
I4MLJw4QOvfbDDtubfhXYZB7sxSsclULd97khlahZCOrlwNYOA3gvElS5WbdZY/KVvV5Fs3yfhCq
tix3auYVGYlSk0nvudIxDbBYszw98XyTj3qvxrOSecMsD5ExITo3RzrPLpkhi/EQ9TPD9L5kRoIv
rDDobJB+0bEBnoLtR9nMwK3tdZ47YmH2Neeh96NME0f68Bhf8jBcDuFQWWBa4qpQ/6c/H/1UUHi/
158/Q8cv+KqrgPiTDoWWNZh7D5MCYfb9amj1ug6FURxwXhfMKbag4U2C1/nLV10dAAcOrIksJuFX
LFDKP3UoBzcWpuhDwndVSQRnGb9Fh0INwYYOXeX5IBcI/jCck03A8ZUQbFn3VVFDi8TQSXI+UH+G
QQeQRlPVRWC4g7k+bmCKsgrd+IxkcTSmmEzNGk2CrDr3a+MYhLIjW+syRQZ4BWjWltkiqslXt4zt
KK3OugGdepJMB58VKjJ0b/vc+1r28WXjutGIJclCmozZYPeDlIvrzB5QG58kfQzeQuSDEZxU6WeN
/ZO61uI0xcmF8COwDTU4JwM37EJG35lBx9hF4DDq8wwkkcpk+KVFDVM6ZeeCgu1p1RFXEWqD85rp
e6Z1qGjnV/bgc2YHTYSOaS9Oq4ofYze5wX237MlwVhL5PXbLm7ZvtBPG3gTU3QmjK6u+YedU81lc
xZ6SPr3FhuEMuvrW+mxcNkWjCmSACSDFBZHFSZzo87CN5mEbjjMDuXZN28AOOXh+qDA+g1TKlB4y
x6ThqV8MYDln/QmWUXWc0jhXSTSgsc9kMjZC+a3jyQVt6lNSCz3P8ktT43ESBaOeo3M4cnJc4+6q
R43qwjBQuEALjHw7iI0vDXE/M2KOWQ2+kGxaOsVx8j3o69vMMLGTDODfoi6c9w0sXR7Vl2bndk4Z
seRTTo5ZX4oKIg6eVjjnzdwzxdhtwRBIKGvtvm6u/T4cwf+DccDK2Kny9FMNbLj5MNhRYHQKbJcJ
DcD3LQSytdmf5A3sQxgaXIWmiB3dC/ABenwVCH3Stu49ybNQBYzdEM2uDItj26jYqUy0q2rKfdvP
8lgFhX9lUPeYhhU5pbryVZeHN8JN74QZOKmbXCZ+dB+mxSdPmrWCA8BBTMJNTTMXtbY0XKFAR3s2
tCSPMak6FXDXjnUQjbOgdgYwoegQTUzSTCMLx6O07vqRVdZLQWnmEJY3tsmzL1onI4my+NQHY8DO
4zKwPT20Ku1QqXBZdOCBcqSGDlQbHGqfnQ19cZsP0ZWb1cImZghWSGAgFXRCOEkNNlBc6BNTd/Ep
Ah+9FuWXgPFTSuhV2ujA5oFMbAMNwyRJwxriJUU7ln0KyMTWtyzNr0UDG09bz+npMDdr995tDOTg
hl7JTFzVrTttcQoOvOse88gQigLoFdQFjLtBxGCQpERZXgTKvi1aFeZFYxtDv/DwUNq0NDw7hhVV
lVHMqsZwzIiNUM8zheIkOIdOikkwWMmoj66MUCHfJarxhgV4j4uqYTde19xEMXLqTlyAkxrZrTcQ
u7VwqHBgfOqFkaoq5iN/qMZ+37BZEOStArOMwrY3nkqNfgH72s/AgBjpDGyaCFKUjmWQpdWVZ7Fp
nIElDMEg0acjsx8WGkzFPquorVnSw3YFmepbzlVf6FpZeXud8FbbeVmhiWt50oaCb+CniVOnrQGB
8P4PK+561dPYVREJuBKxcZXX5rJMABKEJcFMc36bFfm8jP1GQZBxmWXmOTfacRl2TBlWTEZpy60x
Q+HYN4fi1EXmpAMzwklgxU/yFG46SgFNdZV+JUmsxxqse8cLhLSbpiAKwpRTl7BuqlG/yFmgJxJE
I4mCcY5rw/Z9cjZU/nkZ40RRbgqnD/B1Gyat8oi+yEtzEhbkJhtAVmp0jbzcsvUAxrKp+QL8mVnG
/JkFN+e0gckUNetbgw3IdsHcGcUh2JgFBVBHpfu1YcPXosqv/JJ4Uy82plmI6lECAk6Rqr7OBEqc
IoL9xYZ2BC5au+Vuqryk+B4WMYiKzNa+PAdBN/FyP1EWKW96t/0UWdXnIhfYiaP6M5GDOUVWixzT
tPyToQwbJxA+tXs/TpT28l7FCB8XZXidMjwZslo7boS+tlEH0bA4HNNYhraQkaVwxpQsrE8Nu2zL
2eB+aYMT4uPLNMwVpC4/hUZyG+AEtiatJizVcwuOtrCzGJVTM2RLBIJ+hDp50QQMHm1iuFOD9rHi
bAhGMQ9qiNUSR8v2tMziq0ZaU97FIH7BzB56dJ1S8CF1P6jAqz+DaRsqMAFneTVvWK8qWgfK494F
6XHgxFoGEysvwP0qgs+oHyZxXISnqQHifzCKM9lzY9z0dTTGVReqAWEIzGUCdstNRm3mzagUhl0y
4Q8KaU/mqq+xNSWdXoog8c/atAJvyQOJzT+HEMaZFFXAweXKh36OfDOw/RL2mfcDm3qiGgWBa2uQ
XzMXnM1zhAt9bg7GMHXLihw33J/HhS/EoiZ9Pxm6zgJ5LPIRKI9wLHNvnFB0ZmX0GKTRjLkAHTjW
A1wzY3CMguBPEKIGCdHkniKlMfVzMiek9Kapby7BU1q6vfcdVE4I/ko37U3DSQR3rMiEWwceS4y0
E3XxXRdAfJd6/sQyIcBYuRjEg8e++F3STHpUhaM290cQZtLKsoYxa4zAhmMPTzxY7Ox7Zc4Qca8i
l08NcPbmQcHPcda5dlAnyI5i8xaWH7Q4ipdZF84aCE2Ns7y7LEo2CUVZOhTzdJx2ZmT3hZk5AWRY
FcrbL2nVFXYXX1PSOyymt4mEqHgeVooNEXg8bFwE8UUDz4kqdTdGVXbDNbkD4XpRyTa1IUob2gHL
r5BRjEHAoUlLClDZqJynPvjIHILbKQNjXobJOZdFryLXr0eBjPpR0VWAh9aLHZ8NPoR+y1HSxRA3
Z6RUgbYWQwnRt7htJzwIQTgLNof6ki9FkZ12POa2TowRAt+CtgLi5OG4acGLzJsTeHKn3GImZAT8
22woMzsM4rMWgaqN0GngVidurD/TDH1p3Qh0RMo/l1Z3pjve2G0gDRUaCJIf1PuU9GZqI4gFDsGs
IMVZ53njrLUipw4ExPkz0NEGu62z5mzofGWmwfeY0FkeoRi2vT9tOlFP+6KvRmnHzhIkUpslIAgN
f2LSgDk5JdNIW6etOZzUBcbgzg6FzQb2OWyT5AK75uB4lTDAvS8sp/HJoJpaZuDwWljRJO3trISQ
pRiKaUks7RRm+J23YMOIrr7gWYknsmj0xJNleZrkRW/nuD2JQy5AKLmTKHaNiUzaEGxOt4KHi8Zi
IDesMmYs4MmE+fpYgrWVqTjDIVNDI1nwf+7YU9oQ6gN+7459glkOdfFS5nBVVvDTG4NiBLwaLsNN
hKAedi1zCI4ahXQdwpCQhl5hBunBn5lDciTBE+PgIEHSEVp3wEf66Y3BuE0EowgejppBD5d+Bm43
4s7eUr+QOdz0xSBvCG1DEGYDNxGOh5cmARbWfbHONLymKNJ6PvSRncMj75VUBSJ5BAgEq1/+GmRC
CHYzQSmhR16Q1UkWJkRxV91p61+E4qrJWUgysAypvI383GB2wuN+mMKkDVrYuEprclyW7nAdWpGn
YO4C+RwK8N0yHYpZ4fXyBPEkUxkvaHfhg9GOew1eEus9Xp40UVjib02XM3HRunnTjEOkidOQBvKL
kRGft2FcolGQZdoa6TauG1sYngvGfummX4KolyMKD6DplOkdjUk75+B9npPazGIbZVHcj7XbYTtu
akiMlBpCT0Gr8bnZIBqdNnF4XlRRq5IMoqO+vIAg9ZKW2X0KSsktzRsOgce0xRNqMA16A+7CyIKR
JO5YJiPaJcdu3+cOjpLAKQvkxH3+wxf+1ZCRObKyHzVurmPkgcYlRfiVR7p0pBfVZwbPinleUjaL
A3mWySQeDQOknlLDwD9IWKZT4vrmPK3ybJQ0ENUDn4yOrFac4UrOy7RsIVUmGjD5BmtSpfy2R8aX
2PJzR4c+BWO78iyuQKH7AAtQ+FDHG4xg0iOQqKwxgmTZbUEq3DlMpP5V6TXGqOaoGMnO7L6QOOhh
FS2I2ZZRXTjEKHonpMNVziox8w2E5mvP3gtQtuAh24YYzCeGwnRIAHAMsN6EWN4XkGSGKN4cFNAC
cmjoerjmylC5XU3TqYsUBCxHyYSPihFo8BkZ45E1de3ov2CdwhO9xoeASdpQWwTBEoh8QKgD9Nkm
H7Qr2torfT0H037Wx35nR17ugl8D1ojgkRzljYvHhcWKQLnCPPN44c4Q7BGL8gRyAf1cumYP2bjh
W9VpOS4tyPxVVTZ2xfCNU5dCdAQSzu7Qfc5jyCdbRd7bvAyx07WuBd5PCPa43416LCctSu3QHcCI
FK4aqJwOGKke8nQwOg3SylUBoJCQR03SadiBTYkhxarNbNS23qnlRj54CAFyID+gkiQsHXiI520H
SYTcCyHFir1bD8oKEE7OwLUywePMJmYEQOMyJ+PaDK9f3+JNIQIrC+fAQu6HgbyE+BGWW0JEDlYr
s8Qt5maThBMQBDHcPOh2I/BH9P+xd2bbkdtYs34i9gLBAcQth5yk1DzWDZdKVQIBDgBIcHz6E2mf
dttu/72W730rKaVUkgD2jvhiU8swDa3Adv3bjv5XdxXUsj9ezT/9zT9dTW+ZWD/VYrixIniPSlRZ
o9D5NrBD2I5nbUt41jHUFGZtFjWDg2PbrddbP1Zp4kXXWiZvRA42nQbvq6xDlHP2THV8T8rtMxL2
WztLm9vOmqtf3vg/FuMFCf/tCv4XyvM0Nh/9z78QSPGq347kC2fsE8id2CQuYud/TMZfjmQM9MG8
FtxpfxBIkYi64DUEDiTmeiC08J8jOcKAIO5fnvB1eQ5xHPp/RyDFrvmHWw7P8MCofsQ2L7PYsX1w
8qfbXJSW2K7VOJShCqGtG7/164ylWDuWwpPJ1755jXw0OKsuz7JP5jzy5yHru+muHfSRcViTQ0Sh
E042Hzx5VY3qvDKIQ5rKRxgwPyYy1ZmnJ+hg3txm5UzPeoPpX5JYZO1gbtFivM5b/I0O4RtaK+xG
FQ93ZQM9i3vbrgk9D35XVWH9gSURXp9Ko16ipPtmVv08VZKCQ0DJXsbxS2+hKi7dq+Pea9mtV1WM
pieQ56murp2W3waNekNydtcH0WfDRVK0+MfStZHxnlJQIL5+Rwm/FqEKNvzaS6XSzIeEz88rNX0h
3LwLw83lVMGQgPXSQPhNfthqivKkia8H1zzN3VZniYiKqE4etOQ/7MDvZASJhdpVpEQoV5TzfJOY
6Q0Az2fp9Htp6e2gu88QlVs21r0oRggqhwFqqDD8ICEWh0p8a6ibCtMkJp9jCMWz0Z+zz8+1Bzu4
XaFlGRps+Rq2fCft1GfcZ9cw4042LK87dE2bNP1u1fOO9PNJcH4QNHpYt+lLhuona/unAFRVGWxv
rdjanDC8SVwkTsAwzTODdkTQMVJUPvfxNJwrvnw1ikOa8Mhek5JkY6+GtCX0NRTRQ+jWMk9k/RQK
+jXSeDqu8vLyaBx34FveWm88DLoyKZ5luBvdKOFAObWP4+Zdh6reUTPe0CoiqaxZA5oCChkJvUuX
uYMoCWMvIXvrKp2K2kzpaHDVWkfnjAJgGkMZpHZLdrEchn05mCtZtva0tbXIe1WuaCK3B9ZE+7mL
dqMNbRZu0EpFDQeSuMVPE2gyeTPijovY7GXJhpt4HXANW2pEMffboxYQwscu2Yly2pVkfNyS4CTn
OkgZbbp0sKXIRaMMGrD60+nlLcET5qGrmO/E133a6TLrZ3AkM5GH2PZepr3qQDpP5R6ru4wQvY9X
sveJHLOBePzgqnmF/Zb8bJW9ThY9pWZQBhCZO8ZiXWEDgBET7fKsbXQqKU583I1tGgfu+3DpAUnv
x2m4me2uXWJ6FXZQ4JYo4OLYUF4FeV3PrzSp+6novaGSL/gYSge2gIm5iGUU7OKyJd0TA96h89AZ
OAW8b4Yq85OW3XllJWPoALK6C+wi3uVoiqHBLZSGVVjemGFIlYvHLJmXlETiUDEuHitLvEzwaLkn
jXcqhZVBgZ46gBaaNFu+JPFgjyMjJSR7uTjIGwSqfj6sQQYn5V7reLF7GM/0rZ4JkWfAXiAVVFP5
+RKzTyLGUWV1vPbtls6l5luBYzGyEH8oE0/EsWZ4p+UkyrwKQHLllrRx+a2OJPRGQmEdpQ1foOj9
c1z+6ijidPsfx2UvcYevf3Fe4mX/Pi8xJwB7HPHDkISIX/y+haXBvy5PHgoiP4KP8Vv/ijk24F0v
z4yAhoEnQ1xGrv67f8XAtMspmuBxZhFmD/w9IgdN9J8OSxgQiIpxQvFsPIju0aUr+B356nVYONYO
7V3nmzA8D3QsJVRISdoIRMBMebos05SkDTOfdmq/bXqr9ovXPUJWrdKAfV+nuSrMKA49ymyLxAIs
p6jBbsVuiPNt5qmxSbVZQrg2fMojGPnYBuMxrYy48byyhloOY0+V+nZY3Q8vhtkf8flHaDxdVNB1
Rw5rQyfyagk3ePVcnT1j73qio1zjFr+pXDzlrsT32Nr/AAkJOnTsv0/S7bA3rnvMcPjuLfDjZuen
bBEHxtwNzjOLiqACC2Ln9znxnhu3Npmq/ccgcm8iiege2izgWcBMtwKPLSvAXDn4GXUP50R8MLbp
/RBNU5rw/h6L71aHMLeqjT4Sn9m0GuX9QsmpJdHP0LV7qOofQwgdm+L87T0vWxJ6hX0OP80PLenf
xkAe9TLGeVcLED/xG1ffg1nnGGf0OXD+2dPhtt/ka6SXzzpMAG4EEMYgh9+B14BOG82HtpKQ7RyM
ic0bxW6t5eMgg5vReDdbYMtMEdQVK20gm9mkPSofdXXkw4CbCQDhCD6uHUqRRl7FACb4V6qKxV55
Y7yzojlX8E8AQizP8eCd6GzBuzJ3SjTUXcLbW7MCawDmmBx709H96uZ9MinIcXKsMrM2yb5mVZ8r
0k5FPJVLEY2UwH/Cdxmok17ML2XCdo0c72Iy3hLdzZnncbvvwy5bMNQeJ1l9pJEAXuhmiNDztqYx
6Y+tB/2jp165x0Irs1lPV4SRmwqXAj8JC8PrH+IpupsFOQrFQPdQtQ+Vfm5deOD+Ahtni58djnHS
ipdBu5+QYLys3qhOoxFm+mR5tUvG7Q3+g8kFNaeSmVdvHIe8GeZnjzscRK2AetB4tgim+nH16FoE
NIa/5oPHHbw2k9qcw5Xf1iHqJbcu6GX1fD0u01wsOPhu2dwKrJU+yZWWNCtrfpgdbN866JcPVxqV
k8GUedAPXhrU6nWsc9bI58BBZU24ZAXWWh6GE04jx9y+Gxya9Lk3h8WnZRZocrWa+Qxsd8tbJYN8
87z7dVJVsXZ2yxltb2QHnXn1FvjrQYA+TWzHctEf9WLBqwfkMQxO3vpVE9S5nugfNBsKWJAqryoG
VUO/kJh9EZ/AzWfhV7+Rdz7wazI3N2ZdHymAixQ+ZFXE8AfStYUbhQlQDWCqVK7HRG+ncOQXHxNu
EO49Bew4zPpk/aJD/01449Ws3X1jvDPcBNBWHVjBejkHfAJPh2o8jbqZpurCU4+8mrLeuS9wN23a
LDPNm4V9SNt/Q4dCoOB7dUo1kP1lTuKTG+HwDJGXwCEN37Dr2hSH65BOTfzp/AvUFVMJTyu5Grx+
2YsBpV61TSdYF2Bfe/EQV8uHkpFITYj+1NkBGJ1wfjaE9hC30LcruWWuWh4dwIZsUV3RLNWc21rS
ouuiHotOY0kk8bnppSr0Ut7oJgAANpZLxjzxWJbhrTb8kZfhIVjWJIs7cHvj2sCLNjdC+HYHfbx5
62f4feU8XXuE0QwlDRZ2pF7x7CH4GNMMGITPwPVp9X3pdJyinoRZ0J2woT+soZ4OqBRAD9Dx3oQT
TWUU5RP4uT18JpFNQxCmUayfyqQ7VSXsVoCV10M13Us07CmFZlJKMNBM936BshyvnabHKFbJAXzg
90HD8+amL1Pa0SqLlUWNtHlfeEwFzouql/uEe/cYWfw9DrC2bcPgsbfwxhqYDTDLt+6GWB6mvbZv
KM3KzCUw9NoVTm1AZ51WAHNyjT07Mh3ZKUncDhXd95HLV21wI81lt1udgKiFS57iuOuzOQjq1C1E
7MDs4DOFWXgMAqCbImzhYYU1Fg0EkjGcnqu1vp9xJmZOJRofDEyuiEWw1L0Vtxs0qXxU+FrSgLE2
3jbndYiG0Qt0Ws4M8AKZ59Sr4+fIrfu+W39EOrpTwvxcfPy6IVRvcexkOvcAUOKxu4YGbG9YtIFg
J0vKWHeANH50jemzcKVjUSdEv9lGNcdhs88BxcJvuuDVW8NbJ92P2TY7XqpnHPbkCmRHhwQLPw5S
3DJpn/hWHwIPmBurpiVtRhjqazgfygg1frcOAGXCGW8lmnLK2KdcNIy8XovMarOhzUoefDQdRRRV
YdptS1cY00qslbE8kn79iD3cDK6a6K6uk6elY3WalN5JCvHRK5aLGsLbosxeW43XM3OnawQxwAaJ
wvOjTwMRDW2TfA8JPHtl4zsyxi86jPelaZbDJoIvRWaGPdYHB0D7qkiWrtrFrBlTFw91SvSK209d
gFC5cnRL/nuMYACH615ADm7T3sOuDfVb5IqtcxZ76oN09FzLucqcLFVmJ/RVU4OP2vX7dQtHYFLA
a0dSH5RwSyYTUA/E0Tq1FIETDZutwDOof1QCwIxNRL+bAFTDlZumHMhMpuvtsqvGr20ifNC8ZZS1
1nuq+vm551yD4uQZBPXrcfCjVIzAVcWgbU7D6tHFzBZl446jGIesJfw57MY70cw8CwY3F63xxszG
WE/B5HaL8Br4rd3RQ+WEBakICI3huxHt3UJxnuPTwhGiDjYmAD6t/DkbICIm/oqJ9+QFCQ6BFtZf
zesvNrRVThv6Oa39FcdJnq4s+hwmtrcJpOhO+KeyC7qcb8iQLHH9KlpkY+yCIEMyxhnseTSQ30ki
rlEYhGkSgrj0R3UyUe9nZlTqhkp9LC0giSSp34UXAUqa1ZPfJ11qRu+BtUiJ0FYfQz6/Lqi50rja
TOqM7grrApGt0QhXvLb4d0Ir02Tuw0Lr8Cqx+i5JgOzUzDYZ1t1XTFmb4p5ZClEHOzKNb2bC0q16
/74RXZ/hXjgHsYQ5GQHpGWvzGEtco4j5AcrLBft0350RbOp2fRye/MR9qnYdMl+6V7uAg25H8rw1
8rSszRMNvTafB2ypjHyfJsSikhmED3dszjEU4NoM/a4jS5KSFUInN0TjrlU/OWrjaoph+S7dz63t
TxsHLyz67UgpzBWlcsfUs5lMnQ2o8liNrQ/2+wirZGZ73Ui8yZHtydJ/xRVKOqaX96BFzTcpHxyZ
ehtZdyxLNIR191Em9XflxtswtKdWOj9Hd70rpw4nZWAPq2UPS+UXS9QKgGD6cRnAoYf8yCMPnaS6
c1uQrdIHWhNURVU2heyn637Rx1GarEFOip4G5cNjFYzW9023xW+rlnFyY71owhciZ6Z8TWIAdcY7
/dOD/tqDQuH8Hz3oz+qj/fiLFhSv+q0FRUMZUoQ8MKoMQco/taAANgkmKWNyP57lgAbw/7uolyfT
wXRMEsi1eAbqL0Lvf7pQtKch+lAE2/Civ5e/xKOF/qsLjeMIbmyCkEkS/xIC/X0X2jVJQBq8jduJ
V/WA5FHwLCJyUF3nncZGFL4LtyzypjUtp/G4zCsOjZaCYZv4yUV1nJkg8HdCrU+Jp+1+VC2yEj6U
TABkhRrNp6ALSNnNjUsJNU6PXh5448sAq/9hBQi1j/u4vK7CNT6qheWxpUFm2NSfIxqOwFVotVuY
/92VwxeBoncwc3fTU+XLLNYIBshlBMG53LNJxffWtE0m6jnJSQMssE9irC0O+E5AsUpXbjhilC1O
rnqnxOgdfMXKQrUXSG2UP/yOLmM+TOjCXacmBBfQkQmzlakL4OvWZefflhSxvGXs8LWKdwfmNz5o
u+V+kxDpemgA+CsQ/TYIC2kfJDbnwXxuWImYVnVaOnpwfWvx6+mHw6K/igWgUO2mKJ1K9aCjAfKS
vpo85FX7OADY0iJxslW+vPTVRTLaKuuruCwIumaAJY+87w+mIskxsttdP9drjvzPK5jTT93rGwvh
H3Bthb0zuotc+SQm7G4zImlTzb96Ex7JyM/RMA85HeBqA2Rke9PoNzU3p7iT74tyA7Jz3tcikgq0
HXTgZvoWdfyn6Zg9+mEFMrdzSdrF+FgQ9jNpUInqWsoZCLEdJEIMOBVW9VITnAVzqzWwf2RQPUjg
Rau7DSHS4RXq73sSL5mG51rUApTYKiQ618a+aJC9u5Y0oKyhHecDWZ40Ln3T0CnI5ERweGz+lCEX
qjMRjndmgEYJmVAViAN/hsa9TSBaW9HBAgj8H6asgRSCZj518BtLLwl2omPTLl7Qvm52EPjzdNmP
UP9SUoYtzAHfRrkJg6M3cr4XSauyINFYCDr5WlWch/XwPTDwODgKzsJXAyrSePiaOxPj3V6yxAkx
menqZic3hsO05ClD+ZFZiTWCLq9JJ11teQm9JmhckAKg3osp5nmVLLfBVB5o1AHX7m7jOjl6ntyN
FMnAvJzPHL9zCN2jsTMiqCtDWCd+ZdADwEZCzQ/Umpdq2de+nxEUHUPn3lhTkVyjNU+1MrwYAERl
mjueOtXtdG3OlI579MzPgxiPtRXXrjUt0MIhk3S9o810CEegi2zmuNuX5bZt6HZKSPNeDfImik0H
WWBmRwR7rilHX+vMvvHQAyXDCoSyrrf0Um/novKTzBO+PI5KXtNRAtw1742PxjCZB0BNfvkcsuh1
7Idbikztvqo1zxflxwhbhVHed25NK4ES1xvdHl0DCu14WzJvbR/muHzdkCNPrRkHJHwDbD14nWgb
JNhckxtVH8ut/2m7ICzohlCUBYZIQCCjIInrlONjzSZXvdIyuHczILlAjmsxqSHM66mPD7UlXxD2
rkIpryU68HRp2gC3tc1JK9+3OHgqS1z3vtQssw7Yeq38hyjh736JVk0E3T31ljn1t+Qr5uPebd6a
2i4pQUpP93017suOPk3VgBCTJxCxSk7AtkH8s/a+sdDYmfRO1dw8y8h1OdyFU7wmxSQaEJILjTJl
mwZt6lwXDWDGfCPVeetmGA8gt0ETNl9iK5+sEUG6+iilA1mZ/VKpH71BFE6jJyTJvOUhEG/kbUNy
NSNkfnCJ2bGZiXSz2/2KXq3wJkgvNUT3JZDFSL0DL80V5+20C01/wvjFCqdAhebFtus+mCHVN7GO
dkCR39qe7JwgH3ZY5H6h1UXFn26Qjnum0XS9MY2XUlmEU7jrlSiQpLuC0XRQQ+kOG26iDPYeYLGQ
7IHxf26+OUcCezbMfcR5LgRj/9MpeXaL/dgWUYB3qdJhHTMYoO866YC+Io8E4ADqPTkwh91UuB36
7gMh2I8CnBRMNkke1V2TLSt7MqM8IwP8s3bYKGUQ62JqYKYRQOBuk2c/ALGBYu2255vY03B+gdGD
NEYTgg+d+yqbKIxGKJXo7KY0voiXBComzs6+0LICllNB4oTni/zFRfb0GJrpfujB9viPUTc2YI/5
s8/cu7qIpuBIF1gxuDWgC/vYQcC7QmYNymTZ94g+4f19B4mJ9ibRPwAlIQCi/CnvLnptV6soLyHh
4sw7zxdNdzbVlbuovA7+XnDRfXk7/igvSjBh9kdQdbdK8SErL2qxm8qzf9GPw4uSjFwJAJzFQV2+
6MxYZTYrk+imYgSr7KJGexJkNuTpNQJYyrBPXnTrGQL2elGypae+1ZC2o5llQdW2e6Rc9qgjcA3K
6dEHHomO0LLT5rGjcRWO4g7KQIPSKJP+tqKB9IdbvoW5WFtoY7XOkna+XRiGOAC6vyaBbDPog19A
5EUBfux91p5feBbquujij7qKotQI743YsbxH+3PGbj7w8hxO1b6SYQQFZKySI0FK3kIWanSF6QCS
QBQB5j1tBdRjW13/U0f/Ukdfgs3/dx39qDv9V3X05VW/1dEY5xsyjCQBVAf46jKR5Ld8dfCvCF5N
Aj8HLCLC1L/V0Ri7BQX+8ghn+DkBRuTgF/67jsYk0AtrBeHxgikSPMzkb9CIYfJHN+eXbBh4mxBM
BENkm13mvP2+jq4705iaKHIL8aevdhcmL8OaHj97NRZTiHkVpC3rg1c6cE0+fyndBBIKO3uOYU/f
Xds8snbmKSU0x5Ah5PeN/D565DhM9rr2lMj6qAf0Z6e8jKE51IH/Da212A90Hq5aa492ElmwydvA
ece24uehxuCIfgAAUCqbTeumUzYkhw5C5zZ7OQtc7uZYwyje7moMRMnQzT7QwL1D0vYy7H73a42U
jTbQKCrZZyWOQPimEgJDDIj3DZTcNwj7Y6oi9TD0iqS9RXfeRlctsU2htm6/ak3PxIS30GHDFDbd
1RaZm6kbr5Kh/GH4fCUpSA0cu/fhgjyH6EpsSxBPBUXIuo+KATP1PvpVr+lcJ0CX+hdJyQ/BFPYR
E1jUfc3zwrwfyLrgH2n4AdrXeW1EVfj4H0pSn+VmPgbMSNhNJYSoeXVtVlEb7TvEoMoF52qftM+r
KW+Hcf7WxnCwakavl8TuXVjrlCO6noI+3yWD2Nsyuq2pgYczb4dx9km2bvxFxciRXcZKYN8gLpmy
IVH3XUvApnXLNUZ4XM9DQgrEv95kFQU4DqxCzVG/2GFFlVy7t2ibr2aY9qkb2i+d9GfqB+K6qsUN
r8Iq71xcoCpyme/oYSh5DxpAPNGmPxKDAjxhjp9wwJqCxtUPjNh4FOW6H+t5QYXdnlZNfZCQ3s8l
NFdb3O1i5V7xtUOnAUqGU4JgNpVIUyt31w2queZL+4TEtn+JDrI2j7Ge4GeXVc7G4av17UGxfh9P
aEWAGIsdfvDsj7YwGvF2UuOIm7zh0Z/6vYrq93D191xAMTJJdDUoQB8OYlHede39qKp1Z5HfDt3W
ZNjzi7VCLCpE6wQHqAcV2sDkb0uHuHCwp0Jf1VG4a/i4pTVO07CeT6pyCnrSetNzfPZheeW2yIHl
k2z9BOvWv1adC/JKcIzaiHXHHqjBEyhEmsCLvyeG24dhRWG49xe5cwHZQSOFOE/Lr1osP0tQx1ml
m6wjOIVYt7wMcf/d1Zg5Y7S+Z4Lvvaq+R5DtmCRtlKHzys3CMhUwxG8a0u+SyN34QRPinzOFZQz2
0aIO2i0h9BtovbxhW6amoc2MbHNAHTi8V4wGoDnminxLyqQgfH3GhQaQpzzwLt51Z3E41QiTQr+M
ET0XqsmRyztAGdvVSSfQJqHRDbdTYNyrb/u8ilaRUwhNE1RQVHvqGlI0jnJkffjC9jPUPpT4uCAv
rlf7dRmRn5tBVY5H6aH9rTuWry10W8nfWnUhJ/vqejLcz6Fj8t3SohrY6u7ALbkBmvs5zCEWwZqt
CzNFHfI8MOs5HNVx7tEctpT0V3SecW0xxgjAzjj0n2M/3aolyQcVPsHvaFO+9tdbzUCXRF0R1liF
JKlSu/gc5C55jMbyp0VqEoxYe3SArjBxaDpgeATqfxsdQuRekVuYriqgnzCHkjSRU1aF43lm3RXs
8w7qZYOMf/KOuRJQAZPLcKm0BxzD2Xgn4+mVUHMswwURGOTMa9Vg/1s6zMyI9UMwcpfJrb8NiUCX
qg4XrszI6aaMtyeMk4A07e5LOp6QA0ljGyHbxNccbPMujvsi8Pyj1sOUA87asAsHOx65K9Jtu6QL
p4yvQH4NueRokc+h47dAIl840yg4+sg9+d2KgkXco3O45sk6ZduGdjDeZsxOqjOmoaPXRqii9SQ/
BiIa97xa7jBJYgcK/I7y5CtArqdrTT7Erhj6xNshLdhls+duV2fuHEuegexVWRtFcMvaiBeLos1b
HZRrLsz0pYbxqloI6tvuqJy+rvgAZqmXD+NGcyr7LxAGxTj65qZalp1V23Pt0y2F+viCHbgYuui+
90oQVoS/e3H/utjlam6BbA1jixrQJJnzqysw9Fm1XOZyiKvQOWzj4QrFmitMTyrtehkoMdQvU+PN
de57nb/zNjdnyZIUDZFwqTGkwcwtcB9d/QinYMyRSIa5hnAv37Zbv28D8OsMNBX1MS9hw0CIwH4x
ByKLu/qMlBe2y3Xp8krDwVL0DmrXQ1h3M/r0MF2q4RORhNwRfmLeejvEy3FDF5n1DL5IF3XPy+q9
mEU/NRLdFTTo3GAmQpqs8+1UxxvAsORx6zAfoRnVeN+jUSmihqlD2JEyjcsJM1VaP5iqX5na/zPG
QP97/AuGSmJkG7Q+CHqYxPHH8mSweDL9ygNk0x7b9C3aTXc221JUyB9PD8NZn2ShAZvLazBseXXQ
u+oEqkqdq/0/Be6vBS4+8P9V4DYf3V8MEArxqt8KXP9feNSijxEHkIQByqHA/K3ABcZ0mQTEICIH
F2D39wXu5UcjQgPAaswnKIt/V+AGPnRiDAX7RSkO/06BC3r3z0LxJRuQAIBC0QzrhvwJJwf3glDs
SNfbBG7uHVPQWqRvMCKnCelpnev6HSFCtkvcRM4zKqp02qYq96Npe2F8do8V0c1+23x5FWOQUME8
hzSDRGeY4OxoGlSsU+CX1xEGi90Hi8PrJ0SP8nFzOAdBMR0gGp4Wull0v5U7+CaoP2VJur3q5jJH
dnlOezMs39qqEidtkesMPady2iGRMCSJQe5wfeHUZlUTfKxly05j7Cc7p735qoO+VPR6XrLF8RJx
RHJbB6NORwm5gce2TisZYWwgxRifX4aCkF8GhCQYFWJWfw7vHcaHILwvvhgGilSXySIoaDKJUSMK
3fsFPQBAs/E5c1BW7oQvwOquJzkGPfSSDjMOMb0E1rm3d5eJJttltkl1mXLSBM0VpiMMR+lwmBIk
lxGb68JiusxHiX3QYcAfQOS2GFNU6ul+67FNmgan4+hFmBcWRYWqYXUjqn2jArh504pPx7vMZsF0
GAwyuMxrGQaKCPRlhovFMJeRqm/WYLpL2wBkgWegCh+Z50rYzaEJwAXzZr/PGw8B0zL2DwoU7eph
Vt4STfvW1eCft9F8TFqoM9SBn16NiXoWAhuytIhaz1BVaiUe44DdtwwyVL0sezo1L1TNjl+HHH58
T5vbyfp3miYvRAwMU2rk0QALXqiLkFeIitLg78QXmaKZQnEehshkrGuvEHb9GUV63A3x/AjpF3wJ
5vtlNcER37ZImQt+AKC+BxR6rRZEj2ayr/yRAiASfhaXYE5LtduEvG038LWxa3c8hCG3Res5Wk1u
au85CQDZbUt4FZcobLex/NbSHsAYYABeJZ+YPLfHKMFnlPhw3EtE7sFBtBfNf21vbB2Bq0NoHuL0
pUNEwg7NIqS5a4RZDVZFK+trH73AeKFM9MnwMsiRTFquBViY4z+b8a+bMU63/7EZy6EGNTj+t293
yfb9bjuGMuDjAuBpl5AJfpd+BDqKiagEgB8PAuzZ+Na/fbvLM+w4olxQRpP4EoL4bTuGpffLBBpo
ESEBKc/Z39qO2R/TPcg/QmrgkBqw80PzwI78xwPdL8cBZH+s75aesF33/9g7k+XIjWyJ/kr/AGQB
IBAAtjknM5PzUOQGxqpiYZ6nAL7+HZRa6tLQatNba9NmajOSRWYmIq5f9+OLd0TiHlrNcjxELu+f
YUKg7MUoiCxgRxFZjrhLsDY9ZouLJc6D9oLpHTHRtuuHBLvdwdF9ez2mQfUVSBx5s8VVE2UuY2po
TvG68o3RXuWmoW/bJu9u6iSRr0DXup0ZWI63DgKTD0YRFNcpMYOvHg+ZSWfc5EwT22IYjfuZjdwT
BiLnNSOc9MDVtr90beQe074oWZ/3Rroznal8tnvRrSA7Wh+l02efHPZ5h9Bp/Q0fkvZ9sH2xZe0V
b1mlkM5OxubUR0N1B+VpC+eq24VxWG2G0ZTDTWRwt/5StmEkTyZ+pknzzE/7vclK0viQoZ9E15HM
GOvqoC2aGzdijeGGpo4eooQwNixTNvtzZ89LgME38G8JMI/YZcps9FwC4kOFnkJqJeNoMyBurOIe
6FrCoE/ycPRJ+Af6VY3LsYO4W64w+hW7MFLO1dSr6aEby/kd8YqnM7q3OIUjD444NH2sN0P4mXdS
vGZGmN+DNpo/VKw/YVfaFWF8ZbgEKnMT/N7o4Dc0qjHkqmn2UOogg5xCs5vOaamrjdP5CFA6Lw0g
MGMY79q8Yx7DVUwsNa1fJIr3MfPNJzuto0NlQIyIxDisHMhiB5W06sGLKqYto/OfKlGra83At8kt
7EMrHsl401oBDXLI/M8GAYcrNlkunor8JvFMY9N0g94PhtHq7ZjVdbfRQVx9c42yPXJPKO45htuj
IwjthLPpwpHBc6HZ1J3dBDdXa9QJuxO3RPd3p3ObzuXr3GvjxJsXxcstxpskbIJP3pyPT8ViCupL
HT8Ysa5uo8VOBMbLzTYFDs121bbSZJfjRwxA2mk3IfkkHDqAJw7WYH34aljJzL5y9WjfTaphZBal
Mj9Auc67OgZ051cttMDRc37OXv4TelsegX/xLP65RZDk2/ufPI750h8ex5agV8VRZMvIUv4o/1IR
iYmCJjiH0Pl3ZfiXMLr7E4RqZQvHQwBebP2/Po6pGPR4ehMKADP2Mxf778i/5u+TbxgCgWoKb1GZ
+WmLPP2j/OuaoQmAxClvLK8h28kqjkzJNG21xt9j6dA8wnrYZfZ0LPLCgu5QRK+5717lQ7zz/A4v
UXnt9vUxcYyb2WAnJcHvgEooz1nsQsSKm+dJYJLFurRhm0qszei2w5Q+qgZzgehmPsf4s4syce80
dIxwxWhbiW3mKQFZxhnFFn/v9RzFA+YxOewjcLHrlNzbqhAd0CvT384JaVAznDamF3J/JcFHwg/2
thrzDfDFaz2hfU7TnKyV3zqbSHeQDgfxNJjARJNpO1odQVscf2slMEE4jfNF8Xuuq4XZVfsLBXjI
UHP0SHy4SL74se9tpwAscg93CmpPdJwLGRyzKlHYuvW2LLjzwezKTo5jjOcgBoHNiIxBt0me4jpn
/5th923C5KY0urWTTHg5Z5zAqn9s4lqts7R+Um54U9XmuGJteZY6rncY8nv09aLfFEa20CxEvfYb
/qZp3V+qKmGxOZXZbh6MfdU4V05hPefJcO8nbBmDMXFW82geXBsZF5//V0yHl7CYr2crh0hEzHLV
J82nbBEuFotnGldn9kiIEgRBMKdAIp11xzI8QEwrE3tVdeSfMwv7S6fu0mAi2jGSb7fmcFtjxN1B
mIZGCcrEEu21xepV1gb5uPycw4/CxH+yQUyvc9nCCOM9w73gto4VO/eUP40AgbOViIVtEa7bpN/X
tX1xnSjddX5psGBLykNqFpu0MvZNYtymumwvBDQIAzdo/r2n7i1lXXxcIdtmwvEtc/ZveB1xeoCK
WmWya5kwhAsmJdi2YfuofR3thqS4hDJ4m+ph2mUsNcPWVpxC4lnW9VuCQWVjgsOb6k6R6QvvwtE8
mzrfzKEGC+B/hSRdbXKCx+ugVUeCXBiIlHPu+vYmLtvaIKvlZvMHt4v04OKG8NPqOSXwtWbmPLUs
Gy4FfsKrpPNfy1Tcd07z1aumdVMzHM0hng+1qdrxyu+MXSOsU5lF13FZXukEakwJbqZI003dsovP
gn48qsD5NiujB8A2wrOO+8DlmCiGGW/9fAnrpt2bLE+4dDga34Xi50p8NM1+dOd2O7nRYZzt28Z5
bQ0T72TvPxW+ucqS8NQsubq8c45jZC9Wo1uUtEMwxNg+nf6Oh92qGUmHWrg0jTjk3VcHtxhQz5Sw
s6jwOnj08b0LJRYE0MNc6Walmt5eRTqGetqwaZI5TF0/NEntk0rd2anaZ9yNDnVm8FiyIsT/CXON
0fPOKSq8/4VpMSnNsAO18cmVxbeyEV9zD/KYLLPnuQjPjkkoUdeVBOkDv0s0gbti6v3s9UZwZua5
wGXjMSHELesHPgxubd6MdgYmGCeomMePHtwqPix9byMTHO1ieDNL8ktSfJpi9+Jl9c5fXLC55vPi
yVbuya2/FNrvN+lY7Cpv2g8B4ZyqufXj7CRAKIHYGdZOHVwnLu6SWKWHEuwpAp3z5EH65ycPa+oO
HiEwW/uICQz12qy2gIr0tjasi+ZjcOuW/r0ztQedyXhdZEMOZdVaWQC7YAHZ1spxuw2/K+awFFu7
H9fvEbjSdTfBwWMPtcVR/i30v8SVe9929n3K34RzwATSXWQw2rxb4qQ7ERm8ikMqV1XgNkgksA3H
IdlHde2u4iTzV1NnfI35dthzl9VgeJU54TVAeoy4fTycpGEWW17Q6eBY+n4hkmOdAQ9BK8Km9xDi
de3xsW1CHEqatf0m9exT5C+2z8x9E+3MII2tKdSSNTgatxHVD1aMMw/I3po7ab/VbNdXfth+SS22
SwYQn8ZxAf/UNQh9VkaWVT30jj5LLM1rw8byh8HOSavrsWQVUpnjDWbte4GnwQjsaeco91TW/sEw
jfExmqd+N/bWR+oDlG5dJIDIZR+Z4W39Z7b9Ptva3Cz+8j71r8t79/EnWuPyhb/epphTEXwVfk+J
iPa725RjmVBUXd9m2y6YO/9zm4KFB02VBDUsAc/hG/6iNbo/mcI1l0o81EgCl+rvDLd/wKEgcWJI
tQBGo1Rb34OTPwQj2cT2da5QzEV524RyO5Ff+OGP8idsjOU29p/SkWVZT8hTLUO041o+APbf3tbU
CFe5d/v+hgjIVew+G+LGd+5aCM3BLV4keDt//fOYyf/HT1z+RT/8ThZ0lxiYeX+T4LJnHRBiupva
0lr4fGV7NzaldzV0bMdV6gSrVrGmneotg2PgbLu8c7cJh9Ybj0TrqJbHLqhkuYHVZq9sL4LlmT1T
dpGuK57Wg5F+83l6FzzFy+VxDjCNo4tRhwoEHvZQcbxtsxwA+XIUSM4EKLPxDh8CdsgKWmLA/oMW
Aw4RhASbtIloVgEABmP0CBHE994wnDAtYyiIiTxxJnED4xwL2D3iRdwA6FtNarwLggxV0rAPZWne
DpxwiInHQoDxQwA8lZyB7KWfmuVQHIq3gTNSc1YOy6Fpdu0eyXMvsb8hvepVpOAMGBVHbRBNl7J3
IeSwhAFgzjO7eEDvVQdVQ1qj64OgRWR0d6RO+D/6HI/8TRbKc0c69LrIZ3aEbUcWr7frz6nwzkqN
F0Pm58qNjzodL40fXBsivYbt92IupRkUjfgrhokd0PUv0hFfcZs629GRF11JsvE2ftrq3AUjy6/p
CJ3wVsz1ugjqTayn8zjpMw/kctPNuYCwNp7aQbzUaI5SllwHivnJIWu1whqXXsd9cVuk3Z4l7HU6
p1eiBMarK1hyaQeQgaoPWAADUTs5ZVv26U91NzWgMMhSWXnVH/t+7Li0WO2dF9fTOZvw3GGigKr7
FfHmRkbefdvTJmNGGfpK1OzMKr8Ksvi2L4yHcSh2kcHLAkp168UYVfPuqxuxcDdVcmcR3Pf7nPSw
Nje+hfU1me66HrfecvoqFr9jM+zYwm/YqaISYTQtS3Zd8jYPIMyMmmVhl6XDvZ6iexWYR2BDG6/y
PrFco67DaR4rYdig8ppvhT3wbvLxDZKnnTF0Ee+ma2T4EOwEC4K6taTYgifY0coZFUBybJWBpTII
b5lvLtIhnOLkey2cbebSwaKDU9uWBwx4qxbaBmHIa3q2NtZoHHlQ3E1e2JGhY7q3AVvVvv0sG0Ra
PiHreln8ARaeDukIgb3JuIDEYU8+27hK2/mxXay/U9bBQywfkkFskoRUFY4bbDee9e73yTu4O2A7
WUL6asS72IIgDFrQJU4weIfvj5l/RISF7vYXhx6GqI/mT/QDvurXE8/8SSLHYr76NfH/63bN/MnH
z+VDv0HutRZn1y8nnv8T+HDS+WQ3/n2s/XriUeiI8CrggZNHItnxt+xjfyTnOC6mNqjnluQQ5dhF
if7xfBiswupqw59uEJ3bnTCyYttyw0pJIXtBffJEop1VPTjE152A+ptx7B8ABeyp2uFNjdl9FUfC
OeulD2tIiBP3LVVBAgtLNtntzjLhpvEILQ96AJJvSSZyJTvjlE+hs8cg9clfumIMSmMKbuI8H+a7
PC7pPlqaZYxqQfVTNgPveFgXS/9MWNFEE5cjzwaPJU4fh8W6oLCG7q7sOFBSsMk5uURDq43hwiUh
H94eTWReD6s2/TcxRTgghD5GinHKJbyZE0tohDJIgdCeE/q4mOelUUf0OMQs697HE7MKMBtxoRk3
khqedrn9BhTzCO6y9dLUo8PhTlDdk/fVk5/UJ0A3bzxT9snS8RPPI5Zman+kswjjOLbmyvtK6wUo
FsLza88aTtPSGsSpBTuh73IOHb3zqRZKl44hh7KhABuDa9QXFJxPCeGMlbv0EsURDUWjM32eY+va
jBv+w6vu4ygkB8es6922tmdMe6NfDByU9GBMG4d1zZHgwZxrKsh6NC8IlGxLdKd+8bk088fsoW87
7nAqNCl7t3E91EvUgaKHTiTzBIu5N1aEZpnuR0u+VH126Q3ilbWstgNWcMAmH4FL24JFR5cVhO/T
VHzrXRhgbuoUG3I95c4UXcbIZd0GzaRWrqoFhOLqDt7wuweRYGViNGZhWqp1I+ErFqo8Dlb3nCTl
XS9ywQqOxaMHQniuoQiT7Y1sOlxMdafH8KUrCNx0eXsKG4z3gwF+wFO8Xb2WK06chqhGE+RiNytw
H+Qti7IQt1dc+89VkJBmYJ6vW7rTRq9BKmg1HVzxO4veECdy+e5qovKtNiAPGgGk3Q5f2dilKRFw
yWXEoiZDmIDitQwlzv/wwQ0A/8yMcgcrzy8dS7d1v/SOBJoGknjpIiGidcJXcqcoKSmWtpJi6S1x
KDDJlXUAL9KtB6pNdAHPNjMw27uReRRL/4mqCL46SydKQjlKqY1jU5KyYC3+BZ/HS0KNSkWdSiJ7
vYGH+MFDihQTZqeG6hXw8mKbeACmWUAMZ39qb22KWhIZY42pItDz0+cxof/OKh7ipdslp+QlqzGJ
tkvvi7c0wFQhK58uUK9EWDmqiUfi1vpIZviNkxXs5x6ZmxNNEXperFP0zJRL4YwdxtnWqNKXgi4a
s4ngOtBOA8f1rVjqasyluKZaKmwYgS89nTYJ3TYmHTeen4ut0M5W0X4TLDU4iF3rYSnGYWny2pFb
cpPyTCEbJnOX0HMUup+6mQV6Gtr+YajoEGm/l+6YvPHQfOSNlZYeUUdnjr/+cyz+PAsyt/zFsfhe
/Ovcx+2/bj7HbfVnEyFf/sv5CD4O5wHmIB+ZHeoN88sP56PNQ5XqRl+gmP84EYKPgwJLdFBgP2Eg
5Kt+mQgl+voyXMKdWM5PoHN/R1//zfTEnMbx6/E/HI4E7plPf3s6NhzrCIgIuSEdEq11imX08/7l
vxqkWO3+5mcsiEZ823wj1kam630Pav54AudmKZA5J30dpu6xiHrcjZaVNDs31xdtazVulpT+fgbd
wW2zwoxtgtt5sDompo3X+erCM9pvjwUUvEvfGF69ZsRQ9UUpQ+itbHucmKIy3XnbosaXWA+qQ0rw
YdsYZFm0ruc9cX9rO5rK3DeRrLfgWpO9rSoahwZ1m7hFuF8KhTY9tDDyE2FmbcOmTIx9kY9z+VA0
c/QtT7phZ5txgEzvQfra+tkkLfqgMv5ra1YyN7eRzIX9wOM5TdZVreu7TvOviOsZdDpZeENHn+zK
xOsXwS+DrILhNj3aQ70fXHUesc2s3M64ZuP67KT2Y+23D006n8NieFZQoVeeIn6SxvJMzHwbyvoc
RXQwhmF6NBu4bKFWp3FhpwhsuUNIHCaGPCIQ1+dyumoc8VolCcuPDAuoKOubJlbJgT0CyBbxOVIp
HL7KdteSOiiOHvOD4wmyoO9vp1Ilq86PLZQtGPWd1vi87WA+1VN1GoBN6zw9dAip+5wCKaI8MyQM
nLljfMlHx94GtqxXIXmoeW6OAb7GyKkz7EUclqGRHpsZtl/Ymsei1RzbUf5QNt0psglzQaNQX6YB
mPcETWeNDW+nK96q2iTHJLsQT3KBnh0cdVXjcC9Anyd4z9POW8P5AOMTJs4DBHT6QrSEYwecBPSG
b3GJkt1aTN2lhscO26w5Dqme2BaJD6n6r7jtvX2TqZwGlJzdbgRs7K4qQBSZWsYOMxPPcJftu08I
bd964gsW5yNa9nVnuk9dZOwziCLIEQ1hKHRD2zzPuXc3FMXOp14tadD0qavJ1Zgexszae+BzN7XN
Hx5o+aEVwwtb9HJV0Y/p+v7brIZLKQgxxo2+cjJxO/NNB7O45Bh4Z2nu4SG9W635YRj6WMr5bAcE
x9xnHbyV3nzl5iD2HCJfjes8AZAgmq8/DzSt9B1St8zTs0MKEfaxubatVNHL6b9mofVqsy7cNKwQ
fMmWY5Q37LCnXFJ6MqNeOFxN3Mh49HT7JNNhq8NUb5yIHoGhslYiZu/DEu6EJ+DIvZwg02A+V0b0
iKn7yajKFem5nRtW37ijXdW+caU1MbE2UfRO+ftMwb/w3HZDUUR/lL3s7uWYXPH7nZxEvNE2wZLI
ztiklfh8LLtKrnOp04M2cuu1xD7wqfVKFi16mgKoSEF6rwO3BfyVmVvZBA2yfwdIzmAfkWQdV7Fu
opvTMsRm5GNxHionvu7lEiHMmiGA2FWhEm9CrKBYkX3wjl4deJ9n5YU4wdWz0ZLcHlp1HUSYjWiE
YySXfsubGSILq6LshG8ghFjh3HcC0ceux3oTDpUHTSmh0256yKt0ZA1SAiKs2nCX+hKEykPCK7+p
ewhHrgbC4NmZugRVxB97xoVNpvmzDCHoq3qK+Mj5vEbOowgrNmDJROhrCs9Jjuo8pcFdusBjtA+V
LNl4iUXw0RAPgeJVtqs3LC/buUwOQ9J9c5vxJnPmhDwKy0N7zF6tBD6Qct9KfNS9h4damgsZdESI
71oGD7gj5zZwNhNeloTSlKS2vhL50PuKjG9SDK+DHewd2VXERvu3tgN52/AypzTzBu6LWbTPTl/A
Ly3xqOvkQWfTufDHQ1cjYBlj8hJG0zEe+YhqfRnwz4Q5VR4iU/ddN99wi3zVkXNdJpKtxgCjFPfX
iPHWnYfdIH0eFqLBHuhvC5W+4a7Ha5AoaFnE1HQGaaPz4mPYatgPdlGuE0c9mDOvWpuZKYE297Ee
4qvOVt26jcUrJ8GpDpjfjLi4jeO5O5RJ+OIAmVjZojk4mKB53GyMHpBTwW+PDH/2evfQpOGV2Tmv
PqyIYC7XlZfe4JA6pMBEQJwjGVrpu8E1jVKmQ5/huSQ9905G7oq/9SYGS7PyLR+g1HTXAtlYJ7K9
SoSB9KLeAlEdBwAashseAuluCHrNu1YzvuRgHoXU35iLHNyDxZuQLEYtwpW+kxG7qR/zAsUuLcrD
EHKj5fI5nZnlN4llnTGgv6mAAqAGPAzU1Q6LOzn8UsrxVlgm2YkmtCH3NJ8KEYU7Q3g3jFrMTEVd
n1qM9QshKmdPob5AGcfGKQgFjhUaVoJgu50EVlZbxtlXiJHUath5RKPxZF3GqA2+/XA/+xNZehny
f5Cll3J34i0sVFEp4Pyq32XIzNQxyRsFxnWSPKn0OfU/S+dnA/Z/vef8rx+x6NQ/6NAT72KV9vwI
gccHnG1f3ejk9q9/jcUJ/MdfQ4HoZx2giOb99meQIZ+IskE9AkHGw/Fm7s5aP9L69dc/5nci/ve/
Fok+FBOMtwAxMHf8+KuEZTLZbjqEN30+b2siYS3gYKN+6iUavrlSLfOX8w/o5Oe+CJu/3l+PElfl
e93HxR9ltuVLfxkjLFyOXCiEIlMpv5scfxwjHFZHvE4UzqOc8XL+IrN5PzFc2CBQGBb+bX3/ZYxY
HDxg3r5/s+/Rzr8xRdh/NE1yt/dZezmgGxHu5OLi+eHdD4sh11pOzc1kDIqOFas3axQVVKGj6sk6
x1Jd4oi6HuU0+wDLwV09oRDMobi3A3mfNv1HKSrwdTo6JixBItfcDXZ/TknLG8N8lRXm2SsIR1ku
UoHUn3HMnEXGQ8/u82uCqruACuw2MnacUXek1Z/ciRMFPwgi34cngYZQR5pNBYbIchMZpLxVZB8d
L3rGqLZmTiCUmV33U7wZfHGt3QGYkdJn5c37hfA0xuGTw1lh8Btts2b87MfdJQCh0TX2mx1m+6Fb
0BeKtJt/GmTNPSC69gmeYQli+1tdY/5e2WVN17X1Qhj3EFF24HNDwsR9k5jJ9RKhpgIGc8S8icRA
VrS9jaL+Eo7TmqD+Xo79lsMfbYP4l/+tbXxrabsCmNT3wJW8dygZ1NRRkJEMRwM/5+C091E47w1Y
S3kFH6JqHqYWGlqg45vQcQ8pBCczUU9Omx/mqb3Pve4zoJZrbtTXUVCfB7W0zvVXeTMd+hoMHlc1
Vu/XMG/wMC1BKHnvLsFCz6gOnUv8S2bjJe1J45lTzSGZvtulpOlNraMYlHPW81A0unNoLXaUgVt/
QcDMuE98fTRF8Iwv6ylcUAPUC6wADHJxXiBSgajXbl5fSGyNOzXSfJRNWA8AML27g99wxdB7jwJj
6J7VC4pcBHZLf8Z3yMHfNKFg2Jv8EaJw6zXJIWHcOXZl0yQ3cp41QTapCns/NEW886lm3Awax6RR
Asquyd7TXnCfll11VSjK51r4htA9sSVpZx42w4StI9MxYdYitDbwuJN7y7T2KX6ildOR8ikocUcf
94hjmPO6sCjwMYseClwFBa1DesbWNEp8KQWaopoeYknnR0e4jOiUSndzDwqirGprNYbtE45RsSVP
PKGEWXf0ylWbOfk2OkhjvmE9GsipJb1lHsi82XJ2sklx/KSA+5BEZRZ8LOYdj4iqQcVHcmn65Q47
QdwC58EtT4X08ZZ3Vpk/j9DqNtUAzitwlEk9peSOXMnPYUhsQQD7W1UtdZat9FnOUIXn6oQdGLaD
Qfb5GvJtvUkt7wOn8lsxWU+Ooz7490f0OgvGOC7tS3YxXEW5jX+24HghcgBvrzIPWHs2thffDFF+
BXPgWeoJXVVcJb53Jcso3mmDhqkweo5nC55CVl9T2Vbv8oFuKas31KXMgoeCwudV6Kft1ooGG2gv
t5fRLD6Nycxfuc7B6ZLbwCvXbCg/LnZJqo+BwTgq/HgN/u11Lpkgs07fxML9vExKWg6sQzV2qNlV
hFWAyLtRdgg9sONWbe28KqNOw7b2QWl96urYXfGYQmF1jmy02lWv4k9TaPPNDUmwpib66ycrv+8+
G5DnGBymtQ5IchTBix0S1p588CqorGtJYI9Bx1q4faRBm+oxGm1478lif1S87joIPtlLUDLA9ML7
y97VKaKCTxvqdqbBZl2WfCxRQiHZ2fY3iO/YhYOQRmjsJjGAQMhB9ZFbrOLfNlxVXnujcwyG5ExW
Xm5jnoI52w3PhRBXWHOpFjZ8fxUb0EV7oc9pJB7oOj45RfRI86JgPwLqt0kQouVob5Q2zlRIm6ti
Sp+QXWgRyit3A10j6x8iwG27ZsQ8TunA0s2I6gordoiOsot3EeET7JOesRfIQqupYNgp2rzc6R4Y
WzrdVTkMSNfU2V3MkuMfi8u/7yJcWv/6LrKJP8I/EzT5wl9uIqZaLC6IkuzTBHoe+YhfBE3TJWmH
mmijWP4sTf56E7F/QmzEdELM7XuNxg+CpgVkQtq2T9eU6zmm87csLmTwfnNJ5p/ENyO0ZxPqk1yZ
xO8u4rAFo5YlvH2hhieP4C3UXdite+WkV3mcjxX+4WF2KQWQorL0Jiqm+aEvA9hJePDsPnEhmBSU
T9FBLrBUuplp3o5mS2VhMkxcUdqh8G/yspuvQrvP4iNGAeuRO5jhHM1W8EjwfXK/eWAHV+mkAGlZ
KRrRQ+z6GZiGcM7aL5wXWCMIbjcO72QuD6rIPkiAxZuyIOKw7qXXJwDzwSP4tRcP96j+3VFmwMRY
20cpp5mY+rdZujy63ToSJ6v3g1NTo5ysiwJ4eUSOAFdm0217McUnKK3yHARzBVTCD/z3vi1w/Mo6
GOc9V0q6cdFlbyPLWVZZb24afkmUzLeupOC1Us5H1eUfhAtZxQx5Lb+O3xH/xdqqw/GIicXZdanR
v40qVKvBEjHWu7Q317DIkA3jznsxjbjCSzoGX3SshkNrF9YxAlpzNlIrxyfbuNdu3evjXFX1Xi7M
iWaYO/LklGc5Hme6bjBL+GByeHGrDXVRa+BqAepwfvJ6v2R127iXyXHmYyo5DGLLZxyGXUAmn1VQ
uPCYJi9Zl23PY6NIN5XncytEpvOG+ZCZ/o2dUC3CaQLloMX+HAaAPFtJZxWtCByh88AOz9mXps+G
E2QqfF98JKQp10QHNRqwoze4+QgFGpV1I8B64+lx7PtCqeIjEbK5yuu4eEkG2azJhn8tELv/aff5
+am1tHr996fWBcTNH0en5Wt+fWC5P3l8/iwHDwClAMsD49cHlk/5OSFfCgMU5joePb8+sLAh4FkQ
TMHSY376EXDD6ESzAQsd9f/w5Nn+MrX/Z6pfdjDkGhQPUumqxZf3u6m+nZFKe6js1yDM5nNNCVEF
s9gDh7oxWLzPC7eptwb6e1WU8ZYnsXOZRN722z5OyBN1hLgucBZF3hFH5WdgSBeTIbeAIGTiU4az
UNDtGZ8NLuouwfQ79rnB9ZG4FWa11DX86tjKZunGHBylIYi41gpptwx32IdoVdfFi4W9bM2j90Ar
3LIwZ0Cqh6VHO27yVR8a7S7oxWMCeLgpVMbaOdkEk7gvJu4TJqL5imXnqSrzU1EHZ3PUz1PLoU6m
kxq0Kt/31THLQyKuIdoxewmqWl3kfSjnI+WDMVJ1QPRi0PNL7vq34NEpp8YeAfo4JQ+Fa174LnU7
Ob2A0KitJUER98OnTjs2yQva3GOBGFdOtxAipt2oBrVWvd8vuduOrNOsN2mnMtLO8CMmAhYsUayt
cHoK6hhl16M3fDWkZokNOLxHP17ngflV66qE+truElEfYnYaIAayc+JZ1RqzwnPvgKtLajp5e9IJ
QzxwKyvtB4bNXe321i5Ig3W+AN2DJqiOEi7NSsvyOrHK+7oe1xD5YV1DzyPkvBq8moVDvUVK/izB
3oMroyHC5s6VpZssksZ6oHtXUsnXVJ5a8OLofEtBb5OV6c5bSnvhBV7ypcY3XQp9WffvWR299EVB
98pS+msv9b+GCjELYp4nL7w26+5q6Nmi1KJ5CZf+4Dl1ThOFwl2ot0rTMJxo85AWyT07qjPlM5vU
hTKpllbiwGE6r5am4oZm2LWgvJjQC1z92v4ol15jc2k4dqg6dpbO44jFUmGnTwSVCIXUZHvrGyOq
SB/7KYLz9yJl7BBJxoDikqrmKd8L+1Usnctu4uyHMXvQqcOWcNHfAiqd6Uukqbmls3kWtDdXFT2K
9tLoHI3jSwFoCpWze9GUPpuyfZQtKx0AxXtOxpukdbiMeoBSus+Az7AGFuPIsJZWMO6hsnu0S9vU
TAcJQORyaZ4upxARmS7quqvvezW/pl74Vi9t1XQwc9tfGqx5+ptrKfqnIRZqZS491yWF14ZRXgnX
fy++N2GHdGJbpfng07YUL2XZlGaDXb+lf2ik+Mt+QLDzNl4kclZaxjXhywstxsbapoRbx9lLLAkm
FNRz0w2lDymF3f3AWWZEHleDpc3bXnq9Owq+k6Xpe2qZX7Ol/dsXk7fxKQQPl2ZwvP67fKQrPFha
wxfMF4244y5rpxuTYvFmaRgvqRqvXJcioyC6Av8BNdzUH2ns3+OwAMmJhYdxmTKmdp6+jfTzQR6g
zzwILbm2PHD4VduZ+2zpPQ8YCVSQ8tYRNuwmE7p2WcUwl/FZEpCIDoCD3lVEoXqnioLpx7/0Tn0x
qVtPOw3WmnDBqkmhWDugEmZDfGtGecK8fwDPheWE7a+K6qNrp+O6ogZENPWwI4kBEr5X91Jb8hh2
Sxw94VFiWsmFBd/VBExv6pKT61t3bOxOeZYco65+CKL6W6f9dlOMzZleshu21o+VF6HwUNq5QgxX
J5/nIs9GIljQW7du2Y/7JC1fCrrK1u7o85nFBOQEI5amkNVCPIzPftsRTi8NPtNFxTeP01dtd4t3
V+/SHtdN7tnl2tdWvksnMJrjx9hMhCkcUCfFJClRy1/1xF/U9PuHjIXiNhjKZxj1C1vdeLYgLUZh
xx4gZVSbbeco2vKLb8n/Y+9MmuNGzi36Vxxvj44EEuPiLV7NI8niTG4QpEQm5nn+9e9AtmxJ7baj
9+2F3Q6JzWIRlfkN997zCuT0s9N5GIrMvi8qfmE90NaVlaAV1lVWbkrAUSAq1kr6OqCMHt5S0l1Z
WsyEiZl9G1xPqWluLBOLhOo0YzElzslhMknWqti3eRySleYOe7NnrV/4z0ClWMkn4UeKIWtBYtMA
xGDKdnXcPbCDmZa2M0CCGqqOVvhbcfCXknNeBvxxlXSHZGXxAdfp39RK81d+r5UYM1tQSiXTf4/f
z09ZKfpvNg57Wrh/dnDfx8w28ETXMFj64AqVcwTO9ymz/RvyT2zADIrEN33onxGrAE39tVQiAoDW
k97TRD8KqZg//2HMjNLDIvTI1UBJkBecoJkLfWTEiY3ZEknVJnbGnVabiJ2D9DL7Srl1EWT2ZfxE
Ql2+SqJmP1Uc3kUEcYxhOwEePfi7snT7FQi69z4dHvNoeC1EeYZbv2fg4yKhTKq1CeHXL8jwZuaY
6lQ3ZN7eDgYJgFYpv9hkJ6PhIM9TiosnWBv3LlTWKqqexOB8DiaCx6gv7lIjenB0lCJTPJVEiaBZ
gcv+bLZFuyL0ZZXGHLJwNLhncm2TlZyI8Ne3PbzihQmdZU50OgQY5sMVubOcV9BQtJU/mK9F0mnj
Jeo7t9skg97jEMvrJr9vy0gUfL50U608aqs8xzhf6KhsunrERi9aRlWjXHfQZoAkRjdtNDL7Jkwk
zQnJgtj6tXGcD1+YCPpC7NmyuUq6B6POnYU/wm3oPXwH2pjfOQMLUz01XuEqa8RzVcZ6HHTGptCL
bL+uD6XI3ksjiMAtJEEu1tbYseC1U9O4lN88toFjsQGM7wUL7thh0lkPsVgNwnzOgPEQJ55fF9OQ
n+Cxj0vNYaPr0LmpYp9h8q31epuiBUgw/w6W/4ypmII2luMe9cqmzUyx11vu+ICfey1nH7FvExIt
ZosUr+cJrXp46EJHYV/T0V7qPiZJ5m3XAHnvE/S5G6ZX6A2wXZlQBgCt9GX4GNeakWD6wBG0BsRy
nozxghkMbIddl0gLchwhhbhT3XgBDoHqvpLXpfI22mDs0GBerMjZ+8m0jbt2F4ipXnWNum/c9Hrw
uq0xGHhnBfPblN98X5AlaCGGSKMnZAj35Plu+959pKaD61lhsGvVfUELUfXhXZW2z6AQdjr+mJm0
VywJTSM/PZRb+EzWBqmWQf77eLIzOEr8yhnptdEHsJJFV/HaNOTLa4y91s42/MUwOVs5Wa+w9tb+
HKjVoImdlH+bWmWxHxl2n6Rm3oVt/55psJbr+6olHdsrvYsKolWBQyErpkNl64/Ci3p4UNG2Dqsd
pRHBP1KeSRZ5TVsVEtJrb4pmZJsOlyooVLjUNWrgcuzfPF8nzjdlfG1PV70ggEK4TPz7Y15rq1wf
VoZrvctC2CvhR3eTCq6JqXgqq/4UWPpjUgp9LQySEQnrJUBIu/KFt43S7IpYC3dB6Px7RzD5WvaY
LdWIgrNLjknCXyOSGmxVA0Em3buqPXVNduRvTljQJYkGOcmIsYuIZwNAg/TcCf7cbUCzaSwopl+i
GYlkRYTmW+Jz0updHHYvtddveo9gRpeXIN3XxkXK01LE5xBCpd4um0aCDyueRwf1rIGWnCvZPrlG
e+vqJdbEoScZrZLPYVvtcT6A7el8ekbzIiO1h25wMTKm2SBDz1ZHfN1gZaRfV+7eI80iiJ1t6MZP
WB9PSGwfnAwdXBKJ2yYwV0YBFS0rj7Fon9Am3FUhv4u06L4AK71G4XCmi7kmmLvdq5FgtijsdonB
tsczbnlIDnlLTHxQNde1LzYdPB6equ45NcoVa4Rk09WCbX5/xAtz1KSYXU3a3iR6TlSYy6tyn079
rme+DtLnNODeb5Lp0nQxQE5WQCC8jkPBI+siEE/r5IGQqte4D6/N0to3lflRm8Qp5fZel8FjV4d3
llvfE/eSLCzb33RWsHc6F2dSsddTxkkTMBb4m6exyQ7ZRINd6/05yONjiFBiSOSdN3eYhAstdFKk
lpEttrDjN1lRXFtpfgwd9+8qhb9qk5mN8ce1ySmv//Z/mfpIPurfD3LmL/1enDBetvEVmvN89x8j
mX8OclysJuaMeZezJHYeSn8vTtDLGtJAQ/5dS/uv6sRAZcsSHF+I4c2j5z81ef5ZAMLcWUeTyxae
qgWT5e+MJhFiNdA4XnTVpusJPoQfbM3y6Yc3hid/VHn2t6zFPgjtrf7f/zFcfpCfhkXzd5EWu3yd
B5dgjl8qoNLHwmxNVnTV5FGY0ImKjP1fBUHNR7q3jiSHQT4a+slRLgatIqBMmvxjlxjRLam2lyR0
t4YVhKdeiHYldA0to8umM9FDsRQq2PdGum87zOYdlJxWP4mpvwAZOJdTfhy4vMJKHUREBHLazYnd
ovQ2ztyM+0w75rnrV30IeiJUaaaihmycJGk/8RmSrcssNF5UPrgHBIYjox/MfxQIvn3otYmU8h5K
SaPV7Dc9g4lvOxFcFDeZWFaG+eijfSA3yZKvRqrVCw4PuQ1FHNjroC0L5k0jNR52yBESTyzGnfKw
OnAQZOTldNK9stl9D1vm5djFbBdKNTE90n2cjNJeJaWRbCsNVcJWJ6oOiyFiYuGUjHZS4MjsCskO
cREHnvn3E/JJxxxrQ3vMtWzr5nTxhDxDjgyMZIWZJMRWYMaHdiht94bvV8tXomKd+miMeZcTqi7h
DFbWcBPo6OcAaXs0i7Zz6EjzfRE2VxbnJlG6CXsJs8laE5JgjFHFMOZ0ZDfofDI8+tp7yFn3LuwM
U4rWkudnFENAsjoNbqnUiJvEAhLWtlAUec9PDITqtzpQx2FkZTsOLjG1ZbjXDGpRZCfhQiVdfzt1
LaoyHJDM+r1bNVo6AIsgZKkMLjIvsFkOsbnqcn3llOET4by4VKe0Ay4TTmtiEYx5nSmQ1Q3hwZ5a
wukbxkxNk+jLDNTfVQ1GbbbY1ltbdjv0ug5hJ3gqFWEAa1dLz7gwzl1VZ5u0Ci9mbu3doGWQaCc7
PjHxSklxw915h8i2e1Dd4H7mc85WFK/sfrA/87BdWYTqxn6p3wut3dBabzQjj9ce/K7YJfZ4IHmo
touvdd3QLlUfYzQ+lpTQlewOBDRv2HstHHPamoM4j27HwIhERMs4TaDGVNW9MxI8l6m2SXp9LStS
rtvxS8ZlovIvvmj1VW8nVFiO4kVY3Ytlh+/JZJtrQG71oen6Wc84nYzUQD5hnG2q/r6NXwp+fUQb
kKXkOjTt9kYZhOeK6WXwa1DREFVKUS6kr5hN1Jkgy0aPVvoYrDC/3fAz3lptC8AinNQqrBCrmh2Q
5cAkvDbwjUuTZPW5L5sjBBYe5nnkUqILj32wE246Hj0+RIJq3vCq1eC6JxdpDYSLJ+JfybFx7lpD
XbKyODn8/87wTmnbXQIvPCRIUQyf4YNSA9dkjEEl6PEFV1i9VCWuYi1+zWP9FWX9gfqOMBD3wDD1
QsgLsSwZ+LDkbJng6ZJyPE6Osyu0EFFhMH4pY2fXelQBFSNiIm9ZSPdQWadxX05ZdmgAMKQj6Rha
gFFtVMyUrEHG29IrYIjr2u00kuP1n09e4ul+f/LS4TKsF2idJP/7c+8ZjHpaj3YSXuVlbECq8Ma1
Q07QKkV+AM5FYmPo/I3Kg3SP3uZDL8r6UpaxuHcx9+H8HW7Brp/EwDrJc+gKmy3W6k+KUbViNAmz
PvKxfY1ik08804kfLnMfblEfsXc3y85YOW6z63IgFM7ULsOofjScoFyTEQRlG0oDpJQl/roaNU2B
t7nxs60eVVvD7G4SA65v6nwdk/SudaJD68fHqU4OeKVPTpGTpW5426Yfc5xt4c5ATbus2arbvkZe
rRltFbffqhb1rTmy1isC+yACJjhQ68TJb9gKRtXwQClo0h0R92aMxrVJEbUs7VnbEMbnroBpXEd7
vL5bi+0hMd7l3p89Yhi48ZS5yEebaG2p4pQoeh0nM65D6sSkTXfcaxW0FqZC+VhvgBNekxx9azro
e7qsS1Z2prGYoIT1q+omlIRAp8Dm0P5ED1SW+A6G8M0TDgTEed/AA+pWEyjH8iu8mS0ubQs18wsx
36tUshPwzF3POSTr/GvuOSdRsuJQnvbV122SoFBN2209LGIy//Zs+jjLmlPo2M+GSDZCIFVwNeJa
U0NfRvUYr81AXdM36VBCyBkyC9ChGKtb6EuSiH7wreck79P9f35U5wX3j/skSgSbTTqohHkTb/46
JImmap6cpeGVj2JdRofKaP8+RPtDrevvBKIMdIBEu8ygTRdq9y8bK2lPGesxpa4SfCGafR224S4s
bivWvcTELUObpJlo/Z9/KjIvfvq5+EF++a7zz/3D8Kct4qYwpaadWdLcWYYxR2Zld9yKz8qk9qCD
i2CoWk+2L/cdBsRlN9DVJhjw8I2E+RIXz3OuOSfiD8SSIBwmBb3+7gYoplMRPdBV9NA8x6OTmC/M
ooeDnkgbu+2U5et2crK1S37fSi86l0TUcdy3gyPf8yyCcTMh+w7D8EvCs7ouhR2sOIHHVUNG2BJV
311rzi2+Fj+0qoMypeRNABecyeyOS+m+rqqNzT57YeCvlyTZrCO2ygQ/ZZAeJoRAhHaY+DBA/zjh
cGsEGcNhstdLyb7d8sYjD/1nWffGgpXavjK13dib98MUPZkiPljI3RiNU6yFvgQH3gCQsVtrH08R
kfHlKht9Y4WKSHDBxJyy4qkDo0NmTnp2g2GbVf268yeeYNRnjYLygGwrj3AYFVPkrqrEPxfz2BdF
oZ7TqbtquAsQYBKuoN23DUGyUiLtmZxmq5HGv9Db/M1WCCFFOmPloBoPDZ3XobM6bdFZcudkeCoK
XX/IxmA3+ANRaFV7RVKDiQrN2lf0eQQbs7kL3UVpmVtVmCeHdvi/PG7/7RmfC/EfnjYm4E5nTDxt
0Sm7geq+ocl9JGhzz0Tk5HL1LL8Y/cI66Ofstf9voeJzTMq/PsLfH3VHShS6hqN784v74ZvrReBm
sWtqZxRyi+xkLIsN+jp65idngzv04Vpbnp66dQTS+Y3/Sq7Gk1gcwo1/NcMA/sur+fni+/uLkYLy
0pU2bZT1i7Z3FH2KwX8O8xQ3hSTnUjxV3d8DFv7wRPn5zPr99/jFhzgxrtKCgLSwvPxQ1c4bL//5
1/lvfwYG1yRtm99SCX9+Q9OBsYwISy5v7ab05nATas6/n1B/te8m5/sft+93wVvdvP2+c5+/6nvn
bsDqZBGgsySw+CXY6Cy+d+5k/gr05zhQkWGwReCj8I/O3dR/g0VO6KNru6Zwv/lj/7FXIPOXYZ4E
QjzPAf6sfN2SP18tSDBMtBcueW6sPshh8n75sNOGCwkVMbkRIAMgoKHa1OGNMdFXW9IjrkFB0sBi
m4kTY1jQbe9KhAprd0LgSxfyQVocjhrvnsQVsCZ6yX56xp3VamIoJ3du0m5seGgpy/KeOL80BddO
mbHiAHipLSCDM0pNYkGqYasR3HUem/YDGM+6RxBNUgBeN2hs5WB+sXG00jKGCyqUeKmFabuLYLhV
ngcFRkGcsaCWRWtNwjYhIv5kG/mDQ/JSP+PgxsoMt8FkvCWQ4nAEP6M0tzaO77e4VcHJVXqilgj8
goVp1wfU8+xIUW00M4VORus4iO78Dk0yc08uhWK4ZGwVFjUMu95OxY5bShzlDLibZtQdCAlQZalz
7cnkqzHj8EaDKN4QaDH7Av8eZcJnUuDbFxkbRRA553gG64WotdZZVyTLoHBIAhiAFDmQ+GJtPAQz
mk/B6GuQpSCpyohmywlVQLCbEWKvfwP7Wc3Zg/RXkjKIAuJC3JLG/c1KBvMMelL3k5zlHjVNdhkC
MkSBXL1EkATRo0AJmeGCbSLT5WjL+wnuIMzHVT+DCEOXqlrCJiSj9BjBKqzryd5F5JWD6ABkGNS2
IilHXloYh0HE61cz9nCaAYh2Ye5aG29fMcMRke585NAStTpZ9QpWUFiHFJLAFAVUxVAM9WKcQYt5
FjxDPLwdKhOGp0t68iTbrZrxjOUMamxGeqR+hjcmIGJWegrQMc3bawYDmOl8fu81MZkz/FGkxYsO
DRIqxqkKPfp+BSjSmpGRpgEs1JsxkukMlIwgS/oyv0IFcSpDy9knGkpbBYVSRPlLGZXhpkzYorQh
zaKZEU/EC+1nLrQOxLLUxY0B1LKw+lnWhyRRtfs6Kx5ardvmdcZ4Nd+wC/NoPMMaLHjnrU27J11x
5me6onvGn0fcMaYPAJt9WCC/mZmbxGNcI0/AZ+fc5CRhAUjs7lwwnY04lNNV0519iC2j8PZqyK51
wJ4GgE8GZddai4W1G9mlzAzQtiV6c6aCGhNhsnaUIPFPQ39pawAAS8/mLedfmqWE3gNFS7FTkomU
iu4ziId4NaTSWRtzMJGM6/cBsXMPrNSJhnafk6VMQigkUz2z9oGO82/6hjkFsQTLO/OGLdZVtaZP
9Ze5E/Qbb2akVizk1ExNzWd+atqZX1sLd2QLWjWX3XMJapVdX7TOZ/qqkv3N2BKiilQR4UYDa4bj
CFwr5kkD/I9KmiNnD1snt8ALMpQYB7K02VsZWU4biYPVeuhE7LrbAK3XtkVGxGepzHRGcUM1rd1W
DUxhMnROSLuQ2O5wEI3FopIkR1yx1RjbO0+kenPXe5Umj+3Q5sfeYnf2XE2m0V1Tn+9yRTJjETFC
ys3YhINjKYYX05teqduaBSaApOFgAn3fVFqFc0Ozj5YzsM0kOWHRJvYXWD81Yz+bCX9kPsea7S6D
DgmSToz1QeY8zHEGZpK/LnCh5a+Fb76xUoQc40IBlRPSDC8glZIFI1Gi1MRCdIwdm2pYjvFwHlFW
DKEXbQhmPZtZddH89pi6+SvZoKxnJHFayHVqnQGJKqxkWcvhgPvUogiC2lW8hXF+C029ByNkBWtK
DTrtpr8TRnTl195Ji8aXJDA+J13wb1HWZ9ylyOfRVU0HYxyilWnhCFfVbTzHF4uAWdmwGlg0Bc5Z
xIlYeUP+1qtpH7DsWBLYY8OznSjYjfTKduJpZVse0EVNu5A2Yax6x5rIQmvPk2COYw0+DVBUUEKT
x1pjGN9Ks+NsN4uV44XOeiKrFGmYdt/Eq8lST0bFotY1IzDqWowrOPZ6vjleAy/2dnLyMH8MADsl
7icUcKS9pUPRI2bpT4XbGAsM9jgtdOc67LMzKZjpcoD35mHCr9N6p9rmzfb6cQ0n4m4k7GA9pSpZ
+6AjCRRuH/y2rVdtnz2R0HyINKRVTjs9tyWTRj51Js8AYD1LGNqSxJeP2vMeOKA3okhOcRrMSke5
k1H+gDt3q4Uwqjol9mUvbzo8O56Vv4dcdEjmxJVJ9o9JTBLYONPHfKZXS0tUezWjt8eGkRxCgwiH
fwwRfpyDE+AIuka5ra2wX4ZmfR2H7Q2VyIYkqccuxaZClvsSYgsPYGsO61iQvyP0mUnNTG2rKf4U
ana+IpJnm2mavrUNeJfk3HtLlOnXyDujBXC5A9K7alHa5KnWw0PCHpagBS5BjqyNxixvCw7kmGSe
vSRKHTMTnzSS540bWwfkp9VI0RmOp/vJSCSUa5Q5I/nLy8iRe9MMb5ibPmoCBSeWNchcoc8BZ/W7
KTX4SFjujYHCGnMSfhI7H75kuXqSVnldZ86XyZRfBltsCGR/zmP1nCuQyw2gED8tnkXu7qQJYYDs
OxkhO2PwtxQJdKmqf5uRb61D2nuMOL4NL4TO40ZpxF1mzoe4ZmHggtv6rdr8q+wWVKl/XHb/XwLp
9eP3Zff8Vd/LbrJn2BLRtaHaQQItqMj/WXYLKJ1Ioi2LcuXnbHdWaZL/CIshJ7U3AWz/lPPgJ2WT
5jiwOXBUE/v2Z+Q8uvVzm0vZTT/AskwifuZ10uv+3JWpiruN9XdyrenliwqbfjEhb9VHa5/oxJ1E
jBPqql0j9lmIDlkf8EZvLK96l+WSP1uX0lnej/gYShh6WsaUG4HAtp+Vti6aO84EGuPGX9katVeo
N4/hrM1NEOkGs1q306pdEtdvZCarRaubX8nipHjRUpIarOE4IPrFx0CCGRulFRE+a3uEKK/PGmHR
amx7UmT/hgtB0pm1xCZhJWAY0RdnCI0NtEorLmXuSTTI5JI+YxeAl4Y8ORf2QZ/1yuWsXFYdGmZm
QguLWI0FkpYbTt4nZi5s0GblcxAQwZjMauho1kVPs0I6nbXSjs8WodmQrcZnGyg8WqbhcQrUGTfm
saBwD/iZFvmswOZTf9uH8YqdXbqOEWn7unHvk6+46ZixLpBwEVgxa7qLWEP2isw7lYQ5+G7x5M4K
cJuRUKuWFh4VddcYUfEqyv5xhIlybHCNFRKpYKLjSo/K6hXR+p5tzTYteliDLWAOk9kymaQsMgLf
PQfKeJRlPYfb9deabdrrOG6pySyS2SePsY6qPG2r5e2t1IKvVuLnCKDUEvUOSwT7rRneCm/cmIX9
Vo8y37aV2CYtiPmq6NP80dOD7C4RQGM/QjV97YfgdpLYcJy2YMkRV4HrvlU4bn2ebyDEmdgNjQFe
oPK9axN2y2EEVGV67Trrcfs1FeUA93QI6dAbr2Q0oQEKczqJxHKe+oypf5gGZznkH+XUgbrOlcdW
iBXjtPjrnENiSGTwf1QHrJO/rfLq7eu/ES7OX/jDUec6NnN8ErW+KQB+OOqYI8zhjx5nFxZ6918T
BukxeyBLC1YFwkbMC/zRd+Wii2HNICiRFC50gFDi/sxRxzCDo+xfE735qJvlAR4zDqmjYNDno/CH
iV6pfJbIeldfC5RsfTbO9vZypXHMkvFeVzfa5Ktdltr5s2WSKkg8B9e7ozk0StOwrLUuA15GRE08
ZdVS+OZTXMfOqorckWU1wMXJbBBsh5ADrNmd0JhtTsixx5C4rvtTFOFxazKbGYMbHOzCefDqbK+C
AGrt3AkBzzkw+FO7Sjr7Jhye/N4OsHMWd1U+R9cBvtzpQn0B+HM/SHHU0vYqF/iUW0XdIapI37Ar
pr3ttVPSh9uxxO8Mnw1hWfLiN8ahsYv6GMzRmp1KNooc4WXbsym2B+vdrmJt1zQDncZgjRtc8x92
bn8wpolWdUA6fV12Z2+Qz5mRZwfSGAlzctw3owsuAcGbe14mjrr0miX5wpWdswQ2m+ePQzQq5I36
lj4031qcFmic2M8ll9QP8NFZWNoIAxrmkyVPiq3JWeNU/W1vx2qHF5io3c5Sa7xf0yoKNXvdagMM
o54OnfMr5Bwj1QZngqED3iSjHoUbxx08ui2b9D15Ma/pfCCW89FIaM71NB+WrhgfSXXs3Zuh7tWp
aIYpXSSuWXmnQCs+WZnDb52D0EBKmMt84LCBJj9s05DReRlG3r4g6uciY+NBD4NwUYwESxpzCBRT
lZdJAAeiT/Ha+9ZO1BUq/+IwibTy1hT4u8LK1z06Lz3PkXGSZLBAR0mzJcLHsLcKFCutu5Az208q
ZGeFXZDnlDdY4rT8hvUkYDhgzSz47x0N63sfVV/bdtgRxEMuTcZbPKYrPxqeyE766sj05GtwbeeO
FOkcoZ+O1r6Z7FDJrpEvqCZftUJymypnO3omWVdBtDOEuisdMAKoP1jcy2xRklw1svkfiCrPkvhk
+w5UZLL+3ZHMpCn7FLPEsmvxvNjoSZfAWqxFp0VfdFt7RkezGYPhNgma09hp95YWvDZJ8hFUbB7L
VjuWQ3UlpP8wZNFx7ElULH3jUaUyA37s3/uDc2wi3qHCUOZGFk6/jF3vKjPMF9/pHzCU4YhWxEYO
GiNlJxTveOJv+yq6UkVFtBEbStfpZhXiLd4ainA/vFTEnNlAAxiFHhQ2ntbuj4VmvauxeXRN6o7M
uupMawZ77yTOqoKp9SKux2erpXGP1OzXCj08rIAXF6rU6NXGnLyAgX0tWufnqk4P0uvOscRhKabH
NgtoaQAGsC3q90VlhUseWLEotOS2DgnPlKm3c3AEwQFBGQQyZZ2gh1yT+jkb6EHL5N60o70nKqFI
o33mMP6rwXYbzNDmE5dTCllmzJY5b9mVGvi4Ny1qVyUYHeii3AneAs6kixztc9R6X5CK82w59oNh
m2dpMjeR7agTkgVtIZ+PuIr5DM3cneFlm8TBVWHMmL+6zA/wOpNdysRDT7BKqLRhYcvz1k7qThfm
u5OiBEA6cY67wGdOpmmbqE5udUfSZimgzqPhvBuA2tZ6llDl2MV6lDMyIyTLnZN0Q6P3WTWTfxeV
hPyFlX6fhR2Jv7oTfikCjZzfrmMWwxkRhk990F2Dx96RFPeJKLlfNxljgaAQyzgtC30Z1hYCJ72e
0qdUaY5CGqyY2dldvjZ162i51b03YuKvUgfDxJS/gn3x1gVkXUAY07PfYTV1uvrdbjSIsm11Q1TS
VaB0YqP816FuP3VEH3yMq0NCGkKsTPhcjXVp4+ncekikbFHl/Pzl2k2Gk9AqiVYlEwuyVMUinNp7
OYgdmM9DkkePUTfz2an8eTXTs8ecpC7Hx9TqL0Uf3fA88CYM7UMa61eTxdCiId100YEIbR2MeAg1
7zI5XukMjcUQHU0xPGQGKi/TurFRwhTExy1c/mEwA2flJDaCDtLA4H+SKBhGoMYzQX4pZ+yKkd+O
4cWuigAvOWnNsWNTlNpyXDDRNBe27idbu4j204SzRIuxH0dsWzHakDYzNsa+ItZg5SURjixZZPTm
yAvggOizDGDjGFCJ/6rKvlVl847kj7vPG7qCt/r33ef8Vd9LMrwkOEUkXpKZEMbm8KeSDF0CWx+B
hpG+lHXf96WP+A3bPlWa6eBC0X8ii9HNevSsnvVPn8mfyizipf1ckpmsIuZ2lqwC05W/ZhahzcgI
sRz1awuzVLwLuw6dlVvG58gHYz6R9B9MTz42Lc60ZNsr7wl9Ur1IGRVbudp6pPwRojE8VE3BJDCv
Lny0tx4rkNZXSzsd9nKAh9PucGi85EodfLUJXHWtR54652HtLrmwvJWjT+hJahvN5Dh9TUxGUbiB
Y9we7otj+vACuJE3Zt+QS5LueoMcaml1N2HfyHWJ9IU/F8epw7RloKNnj2ZDBgJaoWGfSCvxERb1
Zz8ZQCML7IZtHCCnHO5Sd+AyG8yXftSemN7aSPznwTHT1m7iirPH8aiZ8a2to2lhVDmRNRKtsPnw
F/360/KpTrqp/lJ1+ko3chItjTBc+L5JsmaALA6f6xcRP1vjDWsRUh3FMrT6CuKhF6x8p6lWPYwi
c2nFYkgXGcPOZlXIsd9XNZuMNz00/W4dDlW6C7IuwPOWxTsEFeU6ibjxGnMo1sKvema73rCuDRfx
DVHje2l0FbBZUmnot/vmElCH8oMl1aXLZYTHuCu5eRLeqtpnb1UxQg7KaEZFxLTUJeOuqSJsBw0l
GZFkRjGKjtfNXJMRpofzwfOtre304wWlCjdGG4ElIF0HyTl3U0Il5+PpPPuWiFa4YmrQvp2zHSqO
/QwOZr0q2YKhHCAMkcD2T8Mj16kMSiJ4QGztKFjeOxQjC2Q9yLqwDS70MosWYa3lO/qTDwiZ1qIt
+36dFTyqlWfuyX6pl2REJzeuVFxraGyRpo7h2tMzGB+JpH7tamuLmfyD5aO3xZMbLMpKS26cKVcH
3rlpEfl99uaylEC4FYodTh/eG4ENMWNyu5B6E1cr3WHplFZaRtp2pnAWcXLX1hzq42rVsWckDF2z
rbZeMBelwpXbAjs1a7zAJHvb+sSVai7MMWD3ZsptjT09WAhUM9vII92hcl3zXUDoZTyQBoTS4B5V
aUV8Ndch4/Je13iVsMWijPkQnzl1qCJDQP+Ks2YdoJAT60G6pG11VhV9Jvi8dy4onks+r0MQa9fH
xoe1cpRFuKzEcJ+ARlkxI0BcIQnxypPycdQ8tRSTjx+FEMN1TaqD1dUvTHOfkpwVmU+axTqgGVt3
aZ4jfHaoaMfoUc/ym4jhy+voTWgoAxWcRko1xF7cW1N7Qejt4j9IkPNlTrn3Wptc3e61Ff6mVy7W
DE/77KNmdkKHL1KLDomZPBOKjOGm1tjspdV8iHhn3op9S/JXzueUwHuCNVL3HrXqTakHh4Jc0kVW
QToU5hfD9p66RCMPvRpumgnXh1tVu3yq7+rJe0B0CASxIRmlbCuInZD9Qj8ct5K7cRllg0nHmR0J
bCIFP7hVAiu8o/yC3Ywsj7BE34YId3afGTvu3EPs+NeuBPMy0M2y83b5pDBuynjYFmOYkAmGD+U9
crPs1Y6baKdkF6KvbWfQmWcebNtDfmez8TGt9B32IWeWaLO1LcubvNfubJpXfLNxeFBZy0eZUfQ6
HnuXlwSWcNQazEIDZ5Kf9+qSklC3qPm4XKAhysUkfH9Vzd+0KVjVwBj0tgKB1G2iqmLlGniSOGFa
GA3sbTVr8LaFqY+wGimYyUhIOGGcEUTaGJEdFspV6KTm2psiGo3K+qxHRW6mOe1xTl0LDDOpjE5W
S9yz7IWxlYDZ1hhc/E1s1uQZORYzKmb0K1Pk+c6g7Z3FTIswIDnKD0Nja8gZDUMttAtSPrVGT5Bm
kknscQFLyrHglBKlr2+ZOKmLVXUkyHXz0JLtLxFvcG2jlIK8JI4fWgReaI6pf6j+/hq0zzf/H5c6
WGebt78t3qr3f89S/aHiYd7OpB0PylzCiG+Irx/m7UzSBZMmvKvfJuffKx5p/aajJ6Yc+oechanW
9yGUnJNGbI5LwozmAZX5p4ZQv9Y7FE7IuKis2N169mz7/XEEJQNAcQ3xzVdB+jrVV8Pw8sPbcvN7
c4r5e1Yr5RnmHMwpLvAvy/lFxdX6tdn41tBe/T9759Ekt9Ft27/y4s6hgEuYwZ0UUK7LtLcTRNPB
e49ff1dSn/Q1W1QzFG+qmYIhElUoIPPkOXuv3S9CpmN8myvznAXJjWi6bx34BfywsZ+brBWaUuyZ
DeyaOln3dkVoimIR7z4a28Ju8PCCEukZBLbVFwVrCtr0I8wyGmFdypCAIZo2aCI9GkNXG5dhDs8d
NgJKXW6iJyK0LBsDXEW7GlWxnyRPdhQq/jGJmJ07aLNMyLIv2D4CGmqwaE1qiFUj+bSJJNW6qfm5
l+zaTgOmYqZRfdAk2ZY2z6Vd2Qrhr82TK+m3tN44zEoibjKNGglgUHI1ycudm+IwANBNAemiVfVd
F7LuKBm7DPp2haTuNuB3AzC8BroiJ6L/v+A7U1RIvRrIXpzAl0AGCBjNl2UDEcoPq+7WZsatYGAz
avclVZVdUfUXneQBC8DAU4rAXpKCw4UdG3RwbduvgTYwrLZZel3F79P4tZO04VZux+CHMxJeFXDE
mH99vALPLZhiF1xxXoujKfnFjT6cMoO5MwrXpqp3liQdl6b7kMSwj5c0u2okDbkFi9yBRwZWKNfl
5MJUzDtsHymwYVjKxoI5VNKVI8lZ7gEuz5K8LCSDOQDGrEoqcwmeuQfTPIJr5reA4lQgQKJKv5hA
Orugnc2S+TyoZwvkM0ljDGbNm0iyoHsZqm4OpwhIdEkZGU7JYzSgYs3BSNOOO+LNubUkX7pLskcd
4DS51wiF+00JiNpZBH7c5oXcHnqQnbtVjPa55Mvj/UO3QVmeArUmbtRrgFwb6XTkVOxQiuHHMGfm
+IxAaATaQOyBZPMWbJI4eQ6DAK9R2yUbhTw8u6q/Md3dOcjcTYDbDC2eFQDcrQ0xIqW2HkBzqyL7
tEhUt2R2R8C706RJQTDA8zYVm5BHV9IaIX3HKMLUnB1Ty/FeSx64s9jiBIm9uIhhxhAspA0+JOvE
NZ96yRNX9KZaMRPh7UmQKwAdV3ro47rkkAvaYCvyCW4mySjvQcwc6L+kGKWMlpSDiq6OGQfrEbx5
2OnWOgbRgqYPP7lkoDeShh5RgJQwHCUkPf8OTM9nBegnpoD4PEmieo2C1wcTScRXWoVe8zt5vYx8
egINcFBFXXeL2a4KyWovUd+A/+rVA6IVaQnRV13dHGgSXyJmIAqip07B3IUsRK/bHXPMZB3G/dEi
QWXVphXWh0VsyZ8he3nSyQ0zs2pddnVJmR9nlzalX4pntr0mijj0gqD6LJb5oQmMVzutd6xvcMa0
3HM12MpIF44BTE9J/hQ0SQT0r6wko0D0Cq+qHWSPfVrcjEMz4tGycD6gS9ax5yamb9ha75dVcbBr
lEMca/n/x+uiN0KvsmXS73wR1giVDAmHITICoDMnHJJUo5OaqY8p0FGjVy9GzprbYkpfkGoISpwO
NUZgHbQOo0gAauUTfXdEd4ucAZr1mN+lWj5uBrzehl1ijlgQaEfOAuI9jpvT4qRnQyciw22vtRpm
QdYCxs9pJi2j8Fny9roW9MA+rGafzcO9pJvkiKGYE/aZz0A2Ws9jl7usOf3FqFrlS0HgFeuvgggd
GdfcM1HgckjWK8u8JGWagESgIwN0+QhFBKBXcpnc6DGouYLeZ3dFDnlIY/e86OeGCjgJzwXeAy+z
DYeiFzegWdp3oi6RlZsJIQm53lJumkGwAe93ZwXznVOI5WkJihgLXNluRB9qK3ucNh3c/W2lDsUW
h2DpgdBjOjeI/qmJM2czOXO8eEQMk4prRt3OhMS6SsdqYzg50Uh5+WwN0AVG0Dr2vO5bqUKzL9J6
vlejZD0QtQSmJrrvM/3OQbmCuW4a0IJBOCiDjMlMn4ychtRnlKyGTwJF/dQTaOSDwVpWacSDDi2J
BOLAeNJlEy3QxbQh7hdIP9i+3+XJfyux/nEC9V1i7VgyiM2V43vNeqcpJ5rJMpwwKc4dUh8xIWS3
xuuxaX9hlNJ/fh18ukLq1/9aBHT2kqfAFM85/q7W0u9Zla6cPH9huWxW4yzHo3O2G6ZqkznprtWj
I67AlaMXB1aqowhw6bnpdRT0N1atrg10q73brUh/QWZrcbLnFTAXHJ1qiCr5z7ruJwXMTz+5wFus
meiBEE38WCCJvC/jzk2L84i+IJzvVKLAovL48UVcOen77ySQ38FF7Cxh9A53SPCg/3gVWGDMSdJ+
OFch3STG33siLkxiWmr2jWEQYNuGJ4Vc8OsCQ97sqvvRGeUYv2KhMtTrJckJk+Rk2UeGe1uwK/Xl
QK4mwS8wStjK9YQUkTI8x0p8Qcop91znvbFyhlEIRpcboWWvaZfRRIe3sIwEQbQaNtosTjF4GJ+V
Rt/g1+0RldbWaoax6ZU1B3WGJgxrKkqbyMKHp3/lTP862bQkBPbRyc5O80J8t23Pyk7VxuSkRsyi
lqmPqJsQmkYuIxwtDh+CXsvv6pFoE1cj9TqvSNK0qm5naYiKS7Y4rUIvkdCmr1T9EusZ1saFs45m
ZMdAfe3RR6JLZV18dhRkkTaZ8XNiPmdInumMcFSvLAI2SPJAyMQmxmvm2yGUMKJBdsyhxCrXpgtm
Fa9prEefCW7dqhZQXjuLTnq5QBRv6w0+MrxpBEHnlpVhoyXY01qmQ223p48fB2jPP3keeCHxawkH
iLoUwL8tywNDKbF9iu5MDPCrQUK3v5AKeLaUul2xnr6ELd3Aoo08zZrIdGdSw4p64q7QkwDlsNPD
9tQxxaDJdxKl82SYRbRpAXNs+l4197nQGZXESHYhwzgYPc18Bx0TVp4W1z4IY+oRFiI1L0mmFfVt
mMeTp0Ut+SwjMvgOmVlR1RsrXz43iC9cNEUkz6CSbnL93tJnamfil4xOQ0fWwhyFCrVqRuuJXuJ+
DPQvoJwg9I0sA262s4rpLnCToz00Xo1Shw4oTwjNhVm/FQNTqyS6RXV8A+Nva83dk5MS6E3dqK6t
uqcWrId129Nxc2TrCfkZpA+dncNSXhWeCa9yjWfNUJ60aKj9uluMdWSDoViUieilcq2ZzVZVk71b
DGsdLQi7kW+mmJMcZzzYDU07BvRs83hYs+7OGKuzC7SqLedXzvSfa6N5LUj9Y8oI5bzw0yG9LKPp
aBfWZiQiL7JjZkYFaXBufI26NN3PzsK0aF5bWeDnFQVNaYWcS3gZB8W9xpH7LbYVZDwzqOc+gcnW
p57VRoiGQO9p1tFq8bgbdLAcku3WZrigR6ZCTfvoqGjBOtVGHO/dKlTiK0GfLYzKjZ6SPMkuHo0h
HbDseajaTR2uChdNoK9p7JpZMG46tveiySu/R7bsZ6myZSJ9WJjWIhMFl6SFo9eqLLoLyoIEcL5g
YB042i4scBGP9bFwBFVvlymXWTVWuzmzL8yQQeZ3HJLsJNJoA5qv0s2oaA61nBIyy0uMfE3AcAFW
58oSaxurOiF9+bSx5k0JBt0eHisVQWquniyBI3YKzCOWYkxOQRAcep3RfksOnmfTC9yiOfcr6oYd
yJTWny0iVgaqELskNd6mezwEjfaLre0Xb6qcdbx9U/XInWlXpj1R0nhP21MOnXYizj4YL9PmpHFi
+XhtkCyH9zvFm5VBTkl+vB5sYrTo3bksv2r2l2G6GdxjET6BjP/4QjJg/C9XAq1h4jVD3Yfn5scr
jW03gIkapvOiIZqo4qn14kC/E21Y7qNS4ZmbBgCKsboqNVU7ObUjUM+XqCgSWq8j/66H7/ob04fr
qTAYOBv9gxKXl6Vq32aUb5x6vK7VbydydvyiCzd5F78UifmoRFl1E/akR4ko6ra56GW8E5ZBbT1r
6kgWWbAtOsN+dHX3tlog3xjioje6fWzowJQRZlfuJeKwQ8O2bSvpIdULXiZF8g5RI2uPedWs4yzY
jxX29GxyVp3IX1FLCy8bw+caStWjLsMx9dYIf3FX/+JpY6N/e1MxPb39+VKLOLIG7N3ZmV6i5dPs
/B6Z8rcF3a/+/XcbB1G21MgYVs+xc1slCBqM+188Fh8/Fd+D/d5olnIrT9WUofVZ6Fexqa24TWo0
/y7f/dtvIe/C+4ec8RuiLc1CIWq9e/Qmux2j1uRbIGrQu8/dmFOT3MeT/YtfQ//xGUeBRXA6ylWN
rdalNNXeXWhOYlqnS6WfKWM+s6n5d9km8JU1bWDvcVWsHveWNxw/3aD0e5jWrwQUfeKNbnfG/uO7
qss+2/tv/Oa1/v5B39xWd4jdyg1ZRhBf+kBX1tNtv82vo427dr2M5PAt93mjeUQErqK161fD2jwX
nz/+FOJnn+Lt0ykXnzefIgvazNEhZp6fpr2+xsWwca/s1WVL5Ia/fRTeEePL1j1Hm2mH23p3ByB9
O+1Y91bLtnRXrU/rzHd95djvim17Ga1Qg4X+AzLPs+rNW7F397hDds19vrn9+KO/I7z/XkG//ejv
KmhFb+MMVgTP5QrZ0Kb9Wm2qO82vPUghfuRDw9zkF+X26vNx3e+Fx4E9uQDBeoEux2PzWVvp6kvg
PXz8qf5qT//xdbfe7Q4xQQSNbfGpor27irxlB9LmDsFFSgrDihHFqvEIQdk653qnv9BIW398ffn4
vn+q3r5H71YblhoFBxspm+pSru1xPCxKeh56tfzFpiRXlY+u827VcWIkdsOSzWdq6tUwflan3Wh9
AiBYqwjFqs3H3+rna9yfq8P7jrJCPBm2hKQ/R8wf5+CmCq///y7w7syHHhJ0X84BCrCxntAHdG3/
4yv84oex5Yv45kVT8sop7JkXrazOoOU3lf60oLP7+CK/uk/vFrdWy+Ac20l3nuSvsmSMzBPv40v8
6nu8e8B6Bog9GRzzeRwmEA/nPJ28Jb/6+CK/eLrsd6uSFYTKTHOO3QDnk+ki4Mm6S8PoPRu0bzLq
5yGMf3Hrfvq9xPdwLaQSrvnukg6osaCKu/5s5t8afGFGRJNv+/HX+unP8+Ya716aLHRbpY7M6SwS
UMzqdZ7/oqvwqwu8WxKXNJ8wQ9XDWWXRphmd4tP/+Ct83x8/evHfPcdRzNAnyHiOORusCMe4GHbp
iSOCd0E4+ZqwuF+CB6T8+sO1Rn7rN6+ORv9P6/SIPeqJxnDBqnoKufZqfCVOdT+srhYQ0mzdYp17
2sq5VlY33Vru6lfP9ZVxwamdueganOkOQef2V1yEn27kb5fc909O3IyqFvDSaZdyI1dWeCDMfaF5
q3Rr+o/F6gKH2OEb2bqwqe/nA3E7v1i9dLk8ffSjvPvdB6UFa+3O1BI+mHMfQrturdxD5t+4Z+to
bHv/GYT3qqBjuyEra+t4yi9W6F99BPvdvgcITcFnWXVn5VCuJnApq+SL2EAIO/Rfp121zo944rbK
t/DZ8KZtehn6ydePH83vB68P7oL97jlJByM324JHs9lMGzj5q1hWdfvUuxv2035PuNQKk3C+egSu
5OebamtfITP1+zW4u1X08it2yPeD2V8+z39fd/HuljiKy2yoYEmp1+bW2pIrMG2IgD7GB231Odwj
CvCcfbWjqXecPPt+7VAdQDbfppvb2JdFwn+Kg39H9zq70J8tXv+VQf3XogOzen7Nv/7v/5xfK1rA
v//J/sv//s9/8kT4O39qFHUcIBonXxvgtenKh/vPib0ObZKARGTcqo2Kn1frD6Sk8xuKQYboBC6C
AmOu/9+JvfMbVjaJpTAYttOb/Efp7EQn/vB+c2ghMMnAhmKRYIoQ4DuU7M0K2NRtbgo4NJeV1EBr
esdK4qL2qMR8ryX1Noicz+ZIQmxQ9Z/UPniJpZVNncxDK4KMsALl3qUXpor5JBYijESXI0zPupUa
xpdWnG3mwAF6ESJX1nqdxG51m07uaTTEsczLrRO6uz7RLxO1QBdkLanXhFJ6ZI207sp+0xlETlvF
gZC7yksHMzzZFsQfhUS3lVOL9azDm68VdUujZq+KkRad7jzYlXHV6tmlcLt41TcFXQ1guw+pNTOy
Aw4xC/eaGdBtOKZeAY7Nn0XC8D0rmS115texDJPTsvQVwg2uM4thuyiNjEoLPcXSdsA18HlMWuMH
GVFI5JarnaeHFT1fNHJ6NTIvpi3vM9b34kwQsZR9wq3qdzMfndy7bV+jIvZKwGcgbaeNrcI+JKe7
kcEDYUeDmh5dY2baHqLjwVCz+EJTxEVQzC5sMZU2fWofxxQKnjtat7UWW5vZaTpPKQa+hduYl9Sc
DJV6uikLzAHRimzv2CzYqeEZSANQOQQvbejcJYpDhpxi7Mw5+KqaKhYCSBBoO3K/FYyW8MPQ2TTN
XRkxNalJsL+DKExU4yT2eVFMvhlWN5qW7SYybrxIIIEPF5q0qE+DvTUOzDRVgJg0DzZxQZ7MEsUz
riHkQyJMPzdaUXhDDcGb9rJ+49Y0AheRriPhYLlWtchXOo326qi6KdGaen5KraAg71MRZOPRvBkV
J91XjvAnG2fDgKsQH7udbLsSd9OuobkU3Dqjo1xoVvQlxKK5dkgev1iqCOpz1uybOrxrVZr5aqfv
TAVbFIp/lHm9WA/EvjtDUR4Kpzm1bf6tnPBSm8t4UKfhqWpne0UGyUOv1wgoieTxhqB6GshpX9vt
cuyL6ZjnqonELbleOmfgiAboZRQnMjh4JZSHbtRoysLbTHSGEVZoXtpYX3oCuURMGgsNC1If03ZL
UM4xsxDP0y19WXC/A1i4dyd4JLkI9qFeE0wyd6TAaHW8bhImk3FUgKNLMUEq3pSF0RoN9anI3F0n
Y69GW/mCHO++VGZKLIUGBDrHL0ZcPYC995UQ7Wrj6Nrr0Ii1oinPg4kXfOwcDIjkN2gAR66t1Hzp
qkEmMH+xl/Ywi4q2HmEYBEACBRCXU1nqJ9q/20ytszVOjIMxobho6LspenTD6B+bWTy/6PZdqqzN
2TlUMemYA6CpICJSvQDsFQ82aNA0u3ZoYZNX0jxXSneTAEIlZGS5ioDTexaiXmjafh7Do1Gs3dIi
oekCiPlq07oevYdVFrkn8u33Nr10bJReb/Kr62N7GOwp3Kb58uJaQ7fp8sazYO4g7iSCMCFYeqiP
/bjs3Sr+pAvJ/tM0H36bu6ri5LbLxCcXJozfT4wJitp+QC1YeFoe8BLTsl8ZUbdG4UJF4EpzVVsg
9Dh/32j+3XFVzk9/v+MiYu2a1/9HkNrPkFDy7/6582oy9k8j90/OpEE2/7DzIpED9IxcTjoHfth5
yZHQEZdhHP99e/1TK2cT2OUIwTYpw7GBpv0TrRzCuL/svCjyMGEDU+QTWCaf7+3Zw81tKJJA6S6z
gTFh4DV1iVdm0kxY4WWCVNbK7+ckJCeLmEuH7E0/EZArR6gwUYF4WuuSO3aLQ+pMtwNhmXOAZQ50
JmNFmaS5xMuFG3cPIwdqm6hNEWPOxOmMAwE79TRh0uwtb5LxnEs2QjtHyyaTOwMblExDmCezfGQg
LaAPNSbps6IhvsZIifTeYUCaJI5nymRQt42eZ5kV2mbmvHbR//lqU92ZFkIc+uQ6Enx2zmqhZ0f2
nRmyijQEkWau5iP1mb2mbX04GJ+sPkWCzZhUaPbnOrFxmxFratWwiizbwurgeL1MPlWIQGW53Dp2
hbJ1NLA8EIlokDGsW3DdiTLetTJJdZaZqjHhquTnfMrR9agydVWk3XMsc1hzM92mBLOiiys20O4b
vxnIBHLC6kuomuwoBLpWCN95lcl4DfruqxXoy5lo0Ne4EgyLRMyEUujA6ENrDQJDu9Fbu/HNkiiq
mHIQCTuK33FMD5qoh2fHHTBI9WXTQRgdPJIVY8aidrnJZkP1SPcDjxNhfApdoCQ9AjIS2Bwyw/Kh
2ThlXFFqKLPX8TSvmjaN1gw/GhLuUU0VahsfYrWk8+eOHbjKYXkgThCvmyrVh20GZ9jKgRuMafpc
NoN+Edu2xV6V5zdto9VXkaXHewctN9FwgQHLCFyKbtVNL3f+5Ih4vwrWSjkd+2bJcJLlavBpcmLF
8Ueh1PtCV6+J99LWEXDee2wS5rANHN16UfChfDOdrCeBBCYI0tB+DRzIg15KyGVSyT4Sm0vbcGpp
9RMgZ+76SIkYHtuiflZb1nCl7s9NVIy7IOhkoTTgCDZKiOAC8j8ujbPZ6d2mhhud2GRR1pCzggC5
dZrhHyiMhZDYwS0Y1MtQLc2JfTuXANzeiEALx7e2UVRb6qf0VBJAc0ihZz64uePsCe7oV5GiBlvS
qoFEKM23SQ+UXV4lIIzn+N9w+v8chTiZ/v1ifnpt4qpsf3aE4u/9sZAjejZAiSDFgjr7e/z8n0co
9TeDqYvDUq4zWGT1/+MEZf9G2qumIXkwUSRL8v6bdVxzDE1FCIHe2dZhBf4Tl5ck/7/pkHCCYl4A
OtYQaG5MPsa7s3iC0FC3Fz26zNXFDE4RJ5KXSVMB8ggK+vCqVEZxsfS19WJFJhYlVyF1ZzVOyvjc
LHb74EZmeeu6sViYX/djuTEKu3tsjR6NHDoBm1wxDidmrDxMOrrfKSTwPdP11NMn68pxsEhi2ewH
647aTZKdXtlMTJwHN1brYCkiVELP8vhSn9EDaqm1noaAsXxzAUMVLFqLPDFsBlBp6vya1ugB6xHf
E0juFkgVh7IZuDRGSmeTFbx8isxmFD3T/rBp6M4Huyq3bswBRUVsaX5qwIAOmPI6DeKbQXuti/q2
MvSXyEmIC8JRtSENELkISeVbJyb8tRzQDzKLobSzj4PTPul0sFPiao95Ux7glPXSMu34Zks9aDbA
7PKxIthtSW+GurqvzaU6GQ3nnqVggNg4nFeaHEf1aKJKbjLi8Tqwh95UhNmxwGK12NWTYbEJtZqK
PEFtvi5tM5N4L90Rbb+jzb1V3XynpRjGbDvZYNvxTJOZP6iZTV9if4gS7gFWiZEoMkfs4oL/MocJ
sopbPhSQ1QgUvHbMyCe2+7OWRndWyTLXdQkJudTscaVcxxW4okEgrQpy2Cphbx1D2sRemaE3tqw7
syHLDuLtF6ssDgtA/2p2GPSoDgT3wsaDP5TJqgynA7nvXqeOrIVlsc1idCi62S9ep5GLUhcPiQUB
0LKQF2pTvEYDdUtu/egpI36bSHU2Zm0P594JSzQirdOtGnPfpVb+AHifuNm0R746cH40onOxsD9z
0KYKmft7mCWfgkFm90RsE4K8SbtxHul1PNlYE/VGeyVrE82W/BjqcKPMzqYOlsssjdcYuzZucMXD
Wp7NoT9mbnq1zBZ9BZd8RsTym2bCkW66abdXq/mAnxkwrUiOpV5SgSMyjhTnUSE8lEn7yDkuAUqm
NPEmHdOzqPJLw20OpmtdcRiDcDE0iPZtk2zK+sVEbBsJ/T7vMmwvpX1RDdblHANcKKyeyBjg6kNN
/y5o75zE/mQp06mx+q96kN+1nb0H7nlMhlTbq5ENhidzsVSV/A5Bkn8BTcMrtoTgNKas98m5u+TL
410fo6e6oYzQ1PxSD7QrgMKb2k0/KUrgOaWrkoKaZqvcyK+6vnSOhREd7LwrHqnjEC3P7LeKCpZL
yXqgZtgNV4FqWZ6d569jEOAdnLNrrQ2eMqWcPcMAZB4BGHed5ZgV3anXECH3eDCt/JVOysUiuOhI
1iBOzSxw91HVXVIfbE3D3IEnTTdxkBF7CButMJ1iMxPmaOqp5JdjthIRwv3OOMRaU1y3UwrIZho0
ic4vBvSySPhdtybLIHEe+7zICCzIsS6AlEAglEGKA8wAK70oS7+aTP1qms0LiLnaOeLF8vjNxWVh
09sVQ8OP09nT41IX4U1Dd+GQmORvdtyC9Zgp2U6zYW1WRGgYcCODkDhDq4t2nYK5DX8cl54rVdso
SZCu/j1zffdiy8nDB9s0KPrPP2lz8pfe7NGuiyeHLVqgMZRigD/3aO03tLqIXnXTsBC/0jv/w4qt
/YZWFSeTIOxAwtf/3KO/k3kN03aZl4EZlP7tf7BHfz9K/bddzhbNaU/Ce3Bk8m8B2/3xqFWXtdmR
nhld1X2CJ6VOR/gewr7UsMuyoIRKoCzrtCpHWkE9RxWXCBas0TQDp47y+3ckJdJ/99votDtMqkbw
SuhEgjJpLDLlwJdugwstSmZtHYL0Dq/g9NJuWNVmVNE1QefZT7S2FkyaWesGmHTtwkajP8wW2Zy8
Va5D32XubWYbTVxHO8x16MizRHC0mQhz2dUgq8AY5LBSrXrMmktwDD0Bf3ia7TXNsBJfrkMw2dL1
ylcRk2z176P//dHH8vbBo38bf22an9Sn8m/98exLDAFdeoS3DryX95GW1IeUrqiBTP2HRoP7G6cs
MmgNgTTfEC7/4B+mPOpdV9OlXle25uVg4B88/Jj/3heoFLlI7mwqVNx5vFI/Pv2LEeWRXsbqpeGg
ow7yJVlb2ksZflFdnskgBiZWHGMHzkY8uvpxrPjzRrcvLa24JPpogxHnJuv7F3DEHr5q2llp9FQ0
YltX9g2Un1PFuo/h61mzTCxAU0eRlR46YbcszwJvT9jfk6B9R4+fB9ZVM6+utc5X4+qZcBeAo/pB
4IHNtfp1AWqmJcuTboIkyacOHnOxRmlge+kS79oeGF9SLE9aaO/GiNBXxLVXkx2RrlHcL055dJP6
iZELCBuhf1NAf3KKfcCrgnmqFxugb5vFXq5iF9Ay32xbuUnvwRdG9dzRHQnAvtrBCJ8KVgk1C7uV
ubVrZdO0gwPc2XmoR+jcFemBe8ohjYaJeUjgAyEcUHZUWbhvEOTtemXeliaqJ8qfsbJuxqq/oUfb
3Gdifs2qChFuDZwnUh/VXEBsKnOvUqdTmFZiNYa4/0RS7DoYQ97U9wfTbPeWi8SnDsTFrH1psTqH
QX8/O2JEPc+sBhg2Xj305FltnDLb/GrYrDqu0O6tJWCYrZqDp5jBpmvJaJjHgTSead4l7bxFl7yu
hvjYt9yzMMxMf5wBojSrNKFyOrP8adE6sJNy24kYYGFXxuipzUrt9qXjhOvOdmd8NV1CgnepNliQ
voMV2u+QhWyox33SCb0DVCoxDNN3JENOMxfPE/VxGNUkYZnuKe/rGuG48bmQaAdFQh4MaFkrXYIf
kEb7IyQIzHSm56b1N0dCImYcbWhXYbhIgEQocLosVIu2YZ+VSHe8Tq/4N1SAy0r0lE3mcyGBFMM0
3FYSUeFKWIVZiy8J9Aq4uV+XrplXA1yLkJkd8lDjRK+BbMxWPzQSgpFIHAaTsisOYajR3XRnRs2z
k4puQzBlthbQNMDDoEQ3iSzBHP2ldXSZHDtSIeXAswsJ5FAlmiMLSdV+zga/gNlRTMkXE4yHAOeh
FwAQ0+VAAPU2KavrwQDQDhj6vjIRTVtMEDLQIGyoDT5U6zEgNnYr+BMHnXa41NdUb95sKu1xbJ8L
Ieimz0p5UGx7kTEttKVVOyV/ncoZzwHMrQhnVjNRost9L4nqm34uw30aRYfFKs5LU11Aj/xGYg3x
j3TTCJWf04ZCgUri3za2tC19VFIV3VfCv35SVb1tYZNCIO1UQPoA2Uh39tuqivaxYVPtW+L3HOU/
Wh+EJROFIOe65tuaChs4mT2uLRVIuiXwif+TbQVYzvttBY8XtjJ6KbxHGsXaj9tKXmVmOdPcPufG
MmwqkIF0HO1nm2WhtPtHvbPu0+Ua1txWr7W1Xjtw68N7omhTb5Zn3cpM/bqYTxyqQuWzMab3OT41
9NdNssXc/MnqAMPNY7iHCrZTw4Jc9b7cCK0J4HUnlqer2gsTz+qT1gGENhjFrkmFDzYLmLcxbqwd
FOyLYgQXkhjRYy7KI/PT50XpcKk6jTfG9eucpNduZLw2lvY0DRDqrW46dZCVvTlKOafUyaHvMfmS
xjk80o99ibsqPhQV3ghtFFRbVXKf9tkLnr2F1FyEF6BU2C/hmdX6Cx3WswtMEevALZnOKUL22iUq
h8HqfR/Fz7RQd6NaPraNEl7YrFdua3p5MZw1MIKUt+dpjs/yNF/POKMoGr+UnNfCjl20tsazKw+u
ZazvTShcbMDRXGIPvZXJNzYJt+kzScj1io+4lTkCK1oCPuQPDDcCQnKa6M59YBLpKtp2N1iu9Ezg
wQqUI2LFcVd29gA3ol+PZXIDp/loqeUCWD9SvCHLdnWZfWmUaPQ7veVADh+1sZbIE0N/xXx4pyYs
vGqAJzIqjK9dHJsXWcH1MnDngsgK124+qcscE/llHTFy+mWbvE5WALW/Z7Ldxbg+3HNemb6VwMEp
5wRnO6UBQUrwyDGGmBOhiiq1RSGPxOFSTh7TZm2VpeRxZXaLuyBmKBrb7LVzDAKky5crt7NfRaXA
5Y67DTueF6icI3XylEcbk6pNwrZF0vYsPSZQ424KGcId8cuBEbwXAABqGdOtUtUda0XbZ055qkjy
Hkj0jkj2rmTEtybDvhcZ+13KAPC5IQqcvXTPjLb0BxIkiTWo2LAJDo9JEIdnYCBrmHa5DBfH749F
draIyS73ho7bh07TN36PQ0kkrEn0dEo3D3ed6uUR5L6BjMWZGNkEWz8Mg0NHvGwpc2YXAmeDtjvi
udrrMok2w9GPOetT0oZ7Nwq3lsystUiGGgmxrXrlPibUVi3Ki57wo9Ky9qkaXtJ4eCna7N5KASxm
y3g0icc1+vLUD+TlVul0neXDdgoIrCDEoCBYt3LLvUbQrphNDizRRWiq+N1n41ARtTYSzavKjN4e
eEAArXi06eG35rKJifOFupnTSrAvGoJ+RVwdSDHeodrv+YZ5v08IBTYJBw4r+xI40edWpgY7oX7b
lu1jCB0lmJJTT7xwFM43BdZmBIrRY5pFAMHjx5BAYhGW5IfEDmHSxdaSmcWx3Z0MmWKM2ObaJNaY
yvE6lznHoVp7EcHHg6s+qTIJ2VGzzHcJRwYOwBgEKj1xgkx+l/yJw9vO7uFCEqysT4vi9UQtG5n1
sjiMfxSofUQxZ0QyF02/a2VEc4uCNia0eaFvE6syxtn+HumsIzvysu9Bz47MfJ4n0p8VkxzoxsoO
btgfaYrtJ5kUrTDniKLo0iRCOpBZ0kkZnqhG83XsEjMNT2+lNBmeTXdbl+65kYnUDmblvCajOhba
A2KcI6PGR+P/2Duz3biNaGu/ynkBBkUWx9sme5RarVmWbwhLljjPM5/+/+jEjiw79p+DcxkEAWI4
Ensgq3btvda3iKlGYXgzL18hffankpjrAtSxJPZaDZSHkRhsqaoXIhm90LSKdU1QtrYkZkdLdrZO
iHa1pGnXqrHJl3ztys4+lpRPk5O1qzaqdwlR3AnoUq8x1XvLJE8DME5IaLcBSKena+xq+i1ab/LN
5qc4tW7mJe07N8j9FgSAl1l+VJZEcB8tgU5EuFqaW4vIcH3JDo9bsi+HmjxxWGM8y8FLsiSNWzj6
zibCx5kQEJut4gAl+YRaHrMqN0VJ79ym+R2IXUOMeTNENxWx5hPx5j4x5wgMAoL87Ht82eC4ittg
Sh/aKkTrp18mSeLhZHK12AS2CL7B0IvTQKZ6JAhXt81+pxDF1s42qDHzak7VXU0aO3Chk7LEswON
uOo77SZZqKJCJfvFrodk1auQEKV5bBCLm2vi7cl875b4d+NLErxvWmdazlEts4mJD7HNZhUwKA5t
PJ0zOSoWDN2atzRN5a4ep60V5A6eaAPGbNvn61mJSE2ErQ0LnHZq32VPYHJJRsnjDTuMgZte4hoH
KjAyDwDJuoNgG5Eb0bLF9E5/iFPq90qZXvO62eMFTFcJ0FRXxrW6MqPRXhtp+tAXgeaJyaw9K6R9
iMfTUgjZMDOsnMH5oLblKefk9yFWLRrixlwrm84ejKtmyOdDas8IYYZUt1FTkge2LgfcWLOqnA+y
PhCteKnZyUYf4zWQxfus8q8DgA1dpQUrpniultpYDtXqgz8YsWsFw7pWGWn3yUgOCY1S2bZPPac9
NbEfdV8e+2Fik4ElgesTpAwanuYWI/3k2Vb4iZX1Xsh65w/hSRjjix/LMyApBhG80ZobqWAgKD+U
s3EGm/tIYrJ0TSvzYjqoSpkdyAZcLOid7Zm1j7TNwAFZXLdNApkqm/dlYJ4bY7RTa1Jdk3IPQmRl
FCIBAMWo3IzllTNkNy1JRX0xkRqZ57ccI3Lic5IzEQ17IZQj7HyXUmirjdW+9QGKJOE+sKozEC4P
pi5JdVAPtWSnlTaxtOWzH8/rOAmuRp9KAcHOevbDdc10xKjal4woHgUpFpI5Iue7s85Jn00pgLQ5
+b4Q0XVN4BNDYhAp8bSSmbkLR8AiixagJX7CJWN5NVmg1Rnv+D2DHx+lT+c0mzZGLNdpH3qbkVWs
jhtDKVxJ95bSooK+AoJ6SpMPKfL7QCXHZai1tZPQKoOORfplfO84/lba86Xo8fglrXo7DepGxuVD
Qei2JzOgsUofffbronfHeOjWbSgvIPFc+IH8OArEXFFcLnN2MHDRHp2eswkCwqqT+aWcjIu2VHnH
Q9qSYsXNEhSDgWHUQrI7leran0z7VKjFIdeBfaZ018JWXKU6BGqoyq4SyE3DYHjlGyGTp0bAEpzM
R2OIpxuHlcZLwKKOo915ylA8jMZ8VSrmo6bF/qaMqg8C6cdKmN0maXoivRrete2rO2dZeiobG1QB
+jWogf8aZXIs4eQmgULcEEE8pRoAnTNxOlZ19koPvqFEJKqKqdErPhBP7XFZR2O5hRi4HywNR33b
ETC87NqG/mFc7O+xAK9Sjw5E4km/UJPogvmJC/uCDPtwbs5LvzYZIkrMi2lwGMDrOk36SM9G3y2P
O+nKpIIDHdyAEJGPdshkqdSv1GGMzh1JQ0Ut90EpbrWAiqYwAMIOBEuJwhNZcl4FYttZOqdYI3sl
XwuuANqSQNq3SVscojY+S3qschyd143WfpjU6toZ0aHkpXURq8FFxliONsd0xuH5vkqdR32U1zbr
8Jkh43zdBSY+5VZ/nDNn72AbdWMR5du85xcrlbop1IjZHqTxHfFMUAbzkt0x0DMhb0Y11jhG1LWi
Q7WddC12E2kqa02NfOh1b058l3/2n99mrXOwezM4XlxmNATRI2JopfttLrD5twIgLRJi1LQ8OsVl
ifng2MDpdPSbX1/ke33v14ugQDZRQqE2Wk5xb/S9iU+kutI0EVyRvZIfBV2VBZw03P76Mt/3GP+6
jLV45mi2WzBAv7+ML4TDKUBQuGuvQ3GnyH9tRV3IXyrAfFSoqvH+s2qcCeK6maWnfOBG29k+Pdtv
p++ffBc/ef0EN2p8QnxQBjad719/YBFfLo0qO9mcO4xLw/mNfeZHownf9ZvP5913rZuJGiospQRA
bJXMTZhywghjQvqSxt6v38pPLrVoysg6hK8FieXdV5HagZiHuUhOmONJI2tBcdPb0wHGuvisf32t
5WX/PVj58rV/97Ust/ibu0uoUdZbZpqeSuk6NLE4d7Uea+rUb359oZ+9qbff/7s3lVuxU3T2nxcC
5ZOT/hpu2EeWrbj8zb32k+fSYlQksPFK4MHv7bPSIAaAjTc/NXLjp5/6kebe86/fzs9utzeXeH+7
zbTFi8AQ+Sm3P8X+o678L25nB8gMvUAAccaX3s2b7yWuUlLeCCA8wfNn8MYg+X+xeNkAk4D8SR4b
QmS//+ZzJae+B3h2mq1Pg3XRETMj2t+sXT/70rmJGQ/qzC5UR/3+Gk6YlTmIi+xUU/hNLuN81bjq
wZOU3ix/cyf/5FrEcGggsqBGq/Sfvr8WqTE02WIjP4XLmXpNmnNI/Hq1Kqixrr98+f+1PAUf2rdF
9wevjPuJZ+Wl/hnUe/nBt9M0AqMcIlEkzU2dL/3bJFkwLzYQ3zpUdyodzG+TZLmEqSxNUpOkKXRi
bw0z1h88xEh96ZbSraTl/2/anmSQcyP8veQtci88OY7JlQQTPeS7398oeWBDTu7t4iRwtezKwN8i
tIftSN56Z/WTO3Racz52WrGVYpZbZ+wu4VDM+C6yp1pHw9IozS6dQmPtSLBlwWBSjOk4ReheMP1V
Bo0y04YzUi2UvWHMLqvAeQg5Lbk9slx3FPOZ7cvz2tB3CEgMj8yJbTWVDz4yHhcQ25EQPsKIiqTf
QZk5BFkM/09HgmaT8BHo1tHU9LvAQH7ZRjZHDWYCeR1dtaL+pBkEbtpGcN8TULkaohA7+0gjMOnn
o5lbD6OfNC51xgcnLR5MiB1Oop4PVnqrGNmxtYfSrYfwLq8JAFDUbEdcwZk169dIvjb0Eh41wD9B
FWxaUYHzqMvz0io+4I+6YEJJPp4xbvvRYL5t6p/a1MZ3OcKSVqx2DXCQsNmRHoysx2X2U01rlG8d
EGsi9tDfnOphRO9JYl8RciYYh+5iSBloBvOgbtH8bmKzuh4TCHhYVHJX0eZL6ZvPWlveJt20GWyV
ZMcgvxx1rDRhto80mhe+1VyanXUXVj7IEn36YC4xqkuQCUx1HWVNHiHWI+DEyzVr29bzVT3mFsfe
9DCqZIDMWQWXBIZRWMNaSDVSQAvnhItaA1lq7UY7uKkuqLfNDtYieBxzQvWt2WITWejZdPwcUcus
tpVtv607+wPCMHi8Va6t0iLakl+Wr5KseE4ss/DilhQp+uwQzyxvEgGe1GkXkfNCkFf8VNfyBVIY
xiYSeIJKvwjMYD/2cHsm0WdrMnT0ewkqncM7LUXLX1DS1SEzzH1qqEcDTmptB8lGTSM0x+MIRyPA
SmV3S95VbnTteugXTdvw2ZmTYQk/pHUp6mo7V/AWrbY6MM7V3Eovd45JjkKhAa4ESYWqT7d3mhLA
zqvHT4mj00Th1NtkawE0iSSxeOl0PRSSRI6wavubSlcrWlwBmYhWR7iiH1quOnfquk3hhkkjvXY4
f5qaLwnSDfdEG577faOusgT4EihSngsLPTIRlhwjK2CNFOhio6TE1gsiK84mMnt9JXyWwaBftX52
bS8IdzCV9b5seC9hO6Cem7t1o3NqodAiCpcnBTTy4vkoL33LOA8zIbxS4MM2Yz7A3PzYtuqhKa4i
nfF4XduINjN/P5rFxcjQYtW3w8HRis96A+6/muJPmZ6VsIsaZnWjkngwvonCMchaZV4ZeOGsbCUR
N/NHAio/9zXRSxCkBnasanIrn9ugz/xP0zwzeJ+qoz8zp86lcjNycsspQldTFd4rQfLCOVtbaeQy
rssFkOYQdgdKYIlcQQOeprdV7r86fYHKceS+k6m1RWMYrHU4/vjv5nbVB1V+rmijcVTz7FaJsuqC
IQp4JWCwa8uZfahqPf1QH6tOUMOJCIf+2NeJjVYAj1/qRDdhzd1s6IG656AbclDnGx99xvXJNF8V
fmmu1FmqEGp7jNiTci2Z5yMc4MEK58rn7I+YMU8Sf0N/PfaKqtV3S+JprwMOn/hdnayuoAGfpUVz
I3wBDTcqmFf3Bx8px1rO80iUaIEzCUeEWn9IHKMZ1iaQ+9htumX408eIKXH/apto8HOviqMGKX8Q
6n+eD/6rCZbC8J9rguNL/fzy+SdDUH7qbUGwWF3fpEV+KwjUPzTS2HQHuPUSAcLx5OsQ1PoD3g+h
lA61wl/xk1/lNeYfVAMSbRmlK483ypt/I6/RlqPH9wWBbrFlIjBDALfI374vCKSi0dmskuSkCr2t
D1hOSeiJaGEqD3aRWMM6M1EkY16JqyuVzbbTiFQleALfuPDjbZ4vD4ZGLrZ9H04jBtGov2XcWmM0
TAvyuYN4RA+ZQydBYuRmjX+akgWwGWftrtRIEI6G7LpIptOopD2jNe2TT8aJa9TJWSnmy9wcUZv5
9f2o5FsCukA924Q4iuGziXynlAW/QM7lLhiNTU8zZqc3zlUbxK99QTcui7NldChM2rFtcucH2SX5
CjwTYiIje1RPduFfDRmORbjNYhcgOFmNtc1EccmQTPBtmNqjjt1oNRTYP3icUqyQUPYcQ493pczS
tVNbJIUXvoljLvzQJVXr5bS8tkGCfnNelJxy0XR2X+Sdw6L0BLcdCKIbFgGotmhBx0UVinsGdv+i
FG0WzahY1KNWi47UXBSlxaItbRaVabToTQMV5SlWlQOR99pluKhS80WfalZWu60XzWr4Rb7aL0pW
DUmrv2hbMWGBQAhrGKGL8rX9IoKNFz0sBiF5Zpf1go51JpycaOer6KBb+IX3+DiVZKMtbf7JStQn
tZK618EQs6o4PobUKZ1vx14LQjHMMXEB4tsII2Mm5YD8HZf4LVknL2nRPVRNcl4IEXiZRUBkmyQu
p6cjwqYjIwNupIyg6zK9Jnf+UGr1o6Yk5/GAnKnSslsZhEyjFj93WV1qgXVBiALJomFrJZdGPDGR
kmy0Mf2PMJ6PNGFwfhFUkpQM26Xe+/tkCvddtkCn/SJnV9TsdTYHz/M4ICsjdmBVOkuc16LRNpyc
BOPaeKYWYOKti8QdNTB6MhzXHeIvbDh3wUha6dTmhkcyDrPSibYkAS8XrTlkRLUbxU6BFbmiUbke
I/7PmN8bqs7aIsjLTQSVYmo4gA5mDEdTGPWeGMWFZQxinZBChgg4IS2KaGbmEziMjVSD09YoYK21
j+YIONyfipvBYgdwpsFx/byxcDjT1Yxgz1H8g6CyrJfMDz4zqlkGI6nbxqA+YiW+7MCZcw9oa1V0
lts1E9xBFe9oXgzOxubWF6oeeLmo28DzGWfRpg6KeSCLirr8kDdtcfvfmfKLPHOhlf7z/nGCiBm8
/GT/4Ke+7h+q9YeO/5PfRofvz7ynr/uHCkwBHyiJCSbGTv2tD1T+gUzGRJcMNxWJywI0/Lp/yD84
YZr8y69djEfav9k/WLnf7R+IQxf9p0OLFIW0ar87UFYkIEWDJXyeYsR2ck4TB8Ww458pYyXOcqsh
I0cRUwebOzxE/vRoB2Rfllb8LHtD5YhoDBY+DGbx60oCHxVlVa5HAPEYMcywuMfdg81SdUQDppPB
xkqJIxM7XgluVE/96KUlKoY0wdwIaeBhEc+ZPOXM0zdhF8UVpXWjLdg4vd9UdeyYh8kids7BXN34
HemiSVTCO4sh+rLy16+KHYzYLAEcG5HPoFdzPgP2ZDy5BAMpEhJASkbwCqbrhHAkOKRMRsu5ACch
YC4MV6qcwTU7O7C15xTZe6iX+5Huu2uYUL+ZBxp4g/vO0xo9PEdstxWlchlDl7wuffuMpKzYNQM7
dyEiqec5xZ2rKUOynkw0inWpkDFVdaexbU5KAqxxQKKAiFJdzwU1dBggIl9ht1dKNsWpfk1kexOl
4gbERwaVNm3zS6Ui/07qZKEijQ1KM/xQRL1rtbZLkld27HW8JbIIX7Hzc5orGYtpBSh/UkadSWY3
imkMm9JmCmeBOPZqXPJ5xdstU4KvNGxG/myZnqbm4akPsFdFJXYpaTBLG5Xi2iS7waHmJd8IArED
Ub3UIGtEypE6edObBFlMXanfNbhrMZYg7Z2AkNOoiBA9ZchJZ2IYS6t8JF9rYdsrjMRIYSKLp4GL
vn3zKP6kp/5DH5UHjga0CS6CTiEd6e8Lo1iEgwABH19ogJo3Mh20T+HE5zTgK/mLZPpf/bxQYf55
/VsMlPmPy9/yQ1+XP037A20eXVTU6SxWy199Xf40SZqMpGhl9aFNLPirr+XzksMukIrrtoBl+SU/
7+vyRz9NXRyPsGLMBWP+r6wZdOfeLX+8MAp0BEf68ir4hd/fJXQBkPMqnKTJTrmvZNq6Kb33BQlN
hsucbezK3KqE8BoT0rPRuSd6C/5MxxqVOeZtbOtHWbT7LI7XVW/7jWdZWe6so8WLnC6u5AJ7cqDk
9b4dogAZLvEHTxrxCrSLVIaYZ6B8M5K4FoWJmZJiQp5GtM66uLsSeSkJtDNvhgS5i91PJ0KTyYjK
pVeGM264sbidJuW+MPI7WRjdSmhUt6Ie9qYyka9qHyhQKRcJsaNdbSSUDEEsrstYu3Rs5V7rm5xW
H8dbv02OfVknHJXz16kmQjIEi+zrVuBpNbEohjaeCLf5VKUxebm97LypCD8TwzB7rfAbUHz2OhAt
AskiVDf0gyzsfYo+7YexUFxIzWdqZ50k4oJORdtLxQJbxXL7LMQRqvVndV8+hMJ5VHQiNuxUYudu
1mBs75Nonld1PN+1TPb7Ti3RCnGeKYtXxJce6TPXTlf2K87H52WQ7dVsuk8anHRF/0qsF4n2ygSt
GroeNIK+R3HMBFqmya5qWGBlaLrKhMDb10THkDu08aiWkztPVeLSFCHigeZD69C5KRjgrjK8B2t4
3TMbFOmnzFOfSTA55FKdtkA/BNW96ua2tieZaNd19clP69yVpPodw6quGLGaZpchZIdDvzLSbC/b
2m0a40gZT/ev4FRAFuBGx92e4LNleq/gGhiJhBs/MVFOVvxODJq4BQqCsIYQd18olU+iZp2ve4Qy
KnQdtXFeOJ7ZR4YnZKaIpttoXWiSWS13ZZzXN5xd9AutRdOnagE6MosM6hllWNgjKWjMVF+nvYXP
MVO3yM5b+nmVedFF9tZS9D3E9nsOyjvRafdD3wLbCRvhwT1WL2SpxedlXuBmYjkGocNxx+9jhSZq
rFO+K/52YuZ1UY5Su4qAk++ipCdMErb2EByyhBTKsdI+0UNHuJBP0QlryoCHQActlG26tkHbSN6a
awz509QwX++jD0WgrHAaJesg5PuMcSuedMTz0Zj9u53EEAx9pWEwwkbW7NiLmfvtmLGUY5+kiqOe
0uwu0T8bhjdk+zfr5u83q+USNPNNpMyskeJPWsebidlUBmNDXaSfkuapSy6n8jb/awb83x6lUtL+
8x51FuVB85M9ih/6ukfh8F+2KERLqrnsQ/zVtz0Khz9HTb4YqvFFs/5tizL/AOpMgcH+AdQZdfzf
FfoXpTu3yjL6tEwkfv+mQv+Sl/Fdg4dOEbsnTkSdsl/oyw725tZQfbmAuyzjgtarrO80h1o7d/Mp
U70wVDp0qHGjRcfGTtCEFeZYbcWQXgmFkbiQaUZ28NhiQ6fEZ3Rhmw2N1qKmj2D1pJN3RkMidoN9
kEC/gd54WszJVZElDyVtHVMNP44DiVccIi4mE7WgnhsR/ipOrUEVPkHCJ85T5BqCGyekmw/yqe22
Th4nbqYhBRpkcxOq/ofSycvwrBDxPHlpmAXjPQLExs2ibt72tIrKgsayBRK16DiRH3VlMncTQvpo
UdTDcxvoyKOy9xe9PfEfH4NFgd+ame+qZb6hrzK4BTL9KlZ2UURxOyLgR0EXb9NF0z/r2V2EyF87
MtA9Fgj/x8UBQKJp4vqpf6tiDsjIYHAwC8TzlYp1YOibB4xnaz2vK+fPSIz/HkTJwvjPDyI5g/+z
4cD8HDXPxY8P5PLDXx9IikaASZyX4QPy/LwrGsEV0uxcTsAITThpfy0aYW5o+Hl5UL791N9FIy5H
ZqcYRb4Mb//VEJYn+/uOK5dnIzH4ZylRmeh+90AaqRB27NfzaW4fKttfdQwj3nwwP9kNlt/w9yNv
f9lwhI2UnxGvxiWWV/DmkYezZpZjKdVTQxGA8YmagTTaz32/+/V1vn8nP17nXfFbKGpZ1eixT8Zi
E66ZpX7+9QWWBfKX72RR8Lx5J4HKvJAcH/Wkjdaq1+8sAl7RzTjKyel6VN7CbfrHstt10WULiUKN
XuIQjeSlVly1OYDEkly0M9MIIOcR+6dfdfHNkIXeCCLj16/0HUflx8+CG+vtK5WR4rdDvXwWcu3P
qI3Lh65nEqnqpwHlM7SDVTS9WgoZ2vynbUbur18A5MwfPyoVwpcpKAYMjqzfv4CcvkrbC2s6MTYF
q6E6dXqeIH4hb7BE5+46GFhxItj2oR4bICjDtZoOJkm1BUZuocxubVR4FstOICkOllC1lsDiNANp
Ig+DLxq61Uqs3o0yi7cycWKorDA3co4uNTllJQNNJNobtZ28vp224XyCgLXOAgwwlbLqzHmLXvMy
0y6RIm58ZOs+I8jmFo7jUbbpqk5Mr+dgrXFYophyLZKGprj0EuO2WA5TJlmvcwUTa1I5B3TnlsjW
S7RK9aGJsV4oclUN+Zna6lc0pWNquB4d1F1mpKsSjtK6cG5b3fTor6/iHgSoEQU6CrbK9oRNbm2R
pI+0TRg302JwyNjykuCvIdk/Jjl8kUX9/Viivfj+wX9/Vhwiugnt2MwnsZU7fz+ftw9yi9D+RKjO
ebsjHGhte45LNifM6AOtaG98VPbJpt2KrXmMNvFvspWWh+fv1/PjLfuuMtDTtLOy5ZYtkj0HBCIu
ayiZm0r8Zjn62Z35djl6t+Ah3JjTMOQ6Cj3v2/FzFbhR5+KSNf3fPARfaEXv39Lbh+BdN9Lh/dfS
ibRTKN34EtNHN4JkXQ3NOnbc4DT87q39bAWkOysXtZ0DBeLdCkgEyMhIXmqnAfpjPj/1yuWvH+uf
LYBvL/DusxN5ZOV9oGmnpvc6gq4GxQVe8psv6HcXebfKOqNjzkgntJPTn83VoTVvNfPjr9/Hz7ak
t+/j3fI4sVfTLDS005KPNaIbEOa1E1842Hq/XOj/ujo6RsRxNcVr+8Xr+1yUUx0FYfun9ffbH5tv
VuBFD/bdH9ZfOMpX3Us9Xb80SJG+TmGX//P/9y//Yi/fTiU05k+fsyj3oqato+dW+7HCWZSc/1we
Xaafnl/qn//Ut7pIgHqgU/WX6XapPL4dVMCc2DqIWeRJBgJlvp+vdRE8B5UDDBZezsuovfmpr3WR
DVMSNARcBm0ZYDOB+PopXP75VPIB/vP6+C7qbVkgLYOnF7gwNxuqyXdPb4+5X291azi1nJhdvU0e
in66toq+X6dOcAKxED/Trs7ZBOStbGXs9lKBkWsNr0ooNnQK9dUsFXwpNob8PMU+ZOETAmrwVAfA
fceUKFXsLde6kwZb4RT+duj9o52ltLJK66mT0Y3Zzw8h2lAsOW3Hdqi7YxFmu8QqD3JhTGdWiFTH
yTfABG+4lje0KrD0oSOXrJsIUbIxTvqzeWwT5w61Nja7JPgcN/ZRx4Ug9PEUBs2usNRyhfrrSguF
2OhkhqCiW9z5WNRsqZkrS6NLk5HC6oPQnOfKlcBf9pz+I0Yf6k4NGVU6LY2uBLfcumP4uJaJvzWT
L/l3GQOIUr8lepaZreN1Uq7JjmTozGTRjbJpP6u0Vdo8BBIh5nvD+QzHiyzjcWEFH6y+/dCJOXLL
uBkxNxAc3U3s1mZPVqExTi+9KPa9am0sqVjMGsP7QGVgQlcQ/x+mGIwcJOotbGDrNETWxUI3Dor6
vlCMJwzJZwwRcfyQmSwtt2rUfecnV9qEeTQwzGubT8iPLCLni3ozpOlFrTvXZiSeknFGGyMcdQXC
ZzHhDneZpj/GSN6ZU9Bq63N9U3Zqs3JG6wyO0y3CqNw1Z3Ef9XFKoROfzdKH5VFf4Bk9C+qEGWma
voBq+Dj2ym0pMRWG43XrmBthKh86JX5OEdWuDCLt3LqEjjUvtjciUl+taboRHRieauE/pMn5QHgj
8yXP11+x6619jbczdPMGjWDjEQ98U3AcNWMbEnJgbeeYXMg6Lz7K3HyUoKU4j4+f9G7g/lKxq2YB
gom+Lc7VPv3sc0c6tcyAWRVbNTUPnTntCrP93Cv6QoySt+SQbQPGKCt4GZfEgrU08/rRgxwcroi9
iT0l7CCASBuVs5Pcxy0f0pwr8coIG/BYmXbdmuXaKbPdJLLaWTdtXh78YAgutK64H5vHtNqjFJSP
xJJhZ0YpEQZMZ+ZWv0O2FV5NQ+3s/QQLbGE145ZhO3PvbtBRjajkS3QhBjWlfMU53joY6aoWxUHo
x9O6zZJqvuuNYulp9qMNBCTwE/0m9yXWZyxK95EeF2td7W5o9NMSnHQa2PBNnQE7uB0zDsud7VQO
jadw1vOowNMDJh9rnfX+4sGTj0VvxOt55nFLQ27pfGhpfMJzjlDsuKi+vMB2xhu7RJhZYEkdw/nz
MseKqsD26AVsxNARC54xYhvxzeemHXqJHWDgsS5GXSf/MXJnYT9ERg7K1fDJusa02xLAZkuOXrQr
xuIyjbpN2SutOysNZmg850rfHvQwDy5S+BiJbt7w6arbytEvmri+HKvuzkkIf5cIWgN/eGpM/b4o
5IdMWOg5fJKcUskRoyL5HIPwvRHiHi1mANH4IC8Gv3co5uTgJmF6LgZQhWiN3BEv2apqDUjUZrnS
KmVdy+R1mqu7Mrbuyyo6MiR9qhvSzkUGPqd1DmZXCGR7IXLEasAk18LkFr76JMb4mjzac768auXE
KAPaxLrL+p707JQDB3GI4RoXmGfOiu4hf0IZnFRe0fIwTTx6qGovmlDbNwFt9SgEjN2xCmjqQajW
GVqU88RIaxfBFLCDwQzpBGcOisgMGY2F0kQn/nvtJ+2LEs7waJ2KbMjOiWCqiYvcd4gsS7tpp+Eh
nAP/kzJl52Ey3ymT1FDhTs8K09abCVEPcl9M340ONn5ylhDU6hmJKWKHGkh9AZMnss2zsCyfo9lq
3UAT2S0U9Z2Sa3eW1mWuX/JtpJa/mTrEp7bPqNIc9lZW+p5vdjTM2R3K9tnRBsDiWcq9hl2XEWgq
AgCWtVjQLww38zWj/WbT+G3jfNQyWH3/NYz+xLOqVCn/XBEdP31Gr/9jRbT81NeKiNYtxctiz9AQ
4dGReVMRiT8MDGHsvQtRW4Oz+q0iAqW9NPJtHX09vdXF2fG1IkKdR5PVpn5BwPdFePGuAvpVRUQ5
8N0RjYrIJnkAbbPUqMkYQvMi3nYVSBGYGq1Vg5MPXtKaMuARzaIcmuoLDs0PZaKsyhE8zxxNB8uf
mMZnEHqKjoRhlY2tr+BDGW4oh8YtrPRsLBx/NTvxMQ974ZHefpVH7O5tgWuZKugetPSC6nCcNcie
Z7UDF9za3UVLckSv9o9mmr2qccJED5M65fRH00k9pR+C+1rrBIL55CzIBt+1fKP3eNnFpuuiiyJS
qAdU7REaLBrUSB9XjdQbbyDbeTO2/ms/NC8yNczVjGNnbRdx6WY1O2YSXo1BThrlcA/uP0U6EJBE
YETA7siTMEzF8LoFB1Q6IWoOq3iyjfg5tGokYMKkJOMtdtCm102pXlILYHAOjkU5n8XUkNu4NgSc
PA3tWHwpcsmSHzG9Hex2dFNTt7fQwJgNNsOz38SQhtQuIpLcTgG0MBpMRXxL+XZJA5owV9FChEZi
fD5kzk2TgfTP1KsmH+pNnOqZpzjzWZg6h7Adz5hxCtci0nGlt/0+UNF9B4UFHmmhmBadoWwUSEue
E4r5rkmKfOcwml13aJJdzNHywDg83jjJ+Fnpp+kQ9KHqihxBXZPF9lYSFrEuA3luVuq+0u2Slcn3
ryZlEWlWrbOZAiFWTspqCkXEdPMuD68KU0G/TgJRZMH2rj5Oopy3TcD+kpbhYtu1Iq8s9Y1FK3uv
+/1ESjEwrqCaUaPnmLOC7LnF7OSqFlVbCvFhnebj6I2Z/zG1mCYHdXmMCPX2+KWTp9k0MiKyN8Tc
ryNfbdd9bjYHTauuE98KPUujcolHFHDAVIwLAWJkV2tT5gbd/NzVQq7KpgMSD7WKTSV3mDov08BY
I99pso9WpjuePZovddlDe3DUC3Z85qgttzKazdELelJdymCyXVUxb/JQfuwtDLQRRdiqsa101zYj
nJdguFEmv9n74fRs6UsxlzH/SIKchlHXcxs71qUvwPVWeqrvlMx4dGLtSSQFk04QctrYHJWMhhLm
GgriAYZ3WD1NDj4wa7AqC7mmY16JiRLqsGjEMVNz80brsZ4Y5g4vOGwexoBnXkvsAghqh8yHqJWJ
Q8+lNWSPQM1JmLQjpu8Nx5TKmO7HABaj6Q/kAlMJ2gM7GunHk5skBUrebtgOKZOaCOmjXyNqVAG/
n9VVD40HtiTq3Px2LvxTbZbn3YgZsivy16itbjSJEUGzz3qbaHUsyPMcbrUkO4RKeBQxvjnwNsFK
h9O6z2r9WhRm76n83k01qme2JMPYCqt9YQXa2kx44U6wawb9TCji1Wytzf9j702W4zbaKO17+fdw
YB4WvfhrruI8iCK5QZAUCSCBRAJIzFffD2RJn+TPdoe7e9MR3tkhUUWyCpnvcM5zINIvRxMTuFhO
J2a7L7aJQqK2lmCcsUVzOPX+KeOeD8dkBCktgrb9XMLhV7sxrXAmpUaj7pyh0w9qHIenMbarfOWb
um8ODlrI5yRX3qnVVZFcF5jBw2NbG+5znGCzuBBelu8lrN4NirXPVuoSXz2CX7Ni2sZ40fi6GJG2
w6L7Hfjcbb1FC8yn8KlzuwOpclQUMTyBRTccLHUxIo1yRV95E87z1ViiT50hL1DJyuuCLNpP3aJF
lhVhBk2OorNDqJw0wU0Dn+iAFG43ZbrCXpUX6wB5sxO1X+TUP9SL7pmneB8ihJ4jurAaaXTkZmdd
TlIvdc8LgOR+pcrhSrB3swYLtWcb60NdwMEov4quTXs9obhFyokiu0wGKz+WygZh45QvtNho92wU
AiR0nme5eLXDgdNgfB0BkJT4s4D+ePvYdXkOCxR9RAnfE9pAYs9G5ofQA+w877Mu2xt9eAUMIcPS
ID58Jz3Nsj3GJaVXUGRbCzLGygrJF4eu54CTGO7k7IBmiTn9GimTXelUdCrgBlfCzratGtk0Yjp2
etNaywGKke3Xt5nwok3RBOcxUmClzQzqN8tHGtD7OrUxJYEt8hJjR0g28pKgJDpJXSsMHgYBPGtl
+p9F2L8JSsv9MBZnQzWqVT+2Z3E1f/ZqMpCr7Gry4BrarX+qYtIhOlHtssjERhM+MwvMcMcxNvcN
Za06iVDPyZw1XeKqnIhg9oK7ICKnybLdd7+PaGNnDlsnbM+EpGWUQe7zF8cdY/MTZFd0LVnKdqAJ
0H4EnM9oarCswXDM7opYvtRdcMQbBUBiOu+V8ZAvDbnJhKOB581x0++klbyLKDp4zM6VwZ/GVfgB
COxLpa0zaae/6xn+b4/Y9u9qiRnT/+9M2JbR1l/Xk+cvWr//mVyNr/qpnkQNxr6fig0lxrJe/GnC
BsEafO+33SMTvm8TNtf6zaKW9E3PRM6LUfenehLOKns8/sWAP6Ss/Ed5aZhM/1hPYj9lALish5CK
EMT2az3Zd9FosOQfriZW68E27WN0pd2CwUymLN3i8jtr5zxxtpPo+/zB6iyDOtEEMHqsZsSWY0/I
2bmeogEgC4JPSrGhKhWUzhLpzdvoD8FSNzTxvG2TBtpmMjaH8St7OPrKIZ601s2u/conjrF58Rz/
Di5Ov1KMax+2Pjazr4jjmeUZYfVdMlpbaSfNvHUDS3LlhU61aSGY7jszD8M9QCvX+1RYRuozkmqw
P1po2EvfxWFCmXQYnakTH4MTjrtEhHDskgT3yRZsIYOMfExORhwWr1lc+puIcxGPWTX1W6NofMxo
GROuFF29KZmXoDXwXnuP1KR5ls4eGwlACq9O3L03pR/+YLgrWYYfoiQirJWJ3AYVf4ZsdwG9sE0b
AzWcpUmlSYSDQJJkXCBFi5GxgMr8agaE+NpWmzcbaXPINlySKCysZIV2yTxg5ktXGXkmL1ZYzOR3
qeRUNUZx7S7aZKJ3on1Yle95MHt7p3AwxqW9u9eqBfqDJ4ziBWOb63XFdW52MFcibuyqx+dS18M2
NJTH2NR5T2EAHpBU8LHoC4dJlMtBo5h9MRJ7JbcuOfhzAYgoUuE+RTAdAHLfV5CoOc1FT1XfoIwu
WiylSkl9ijxTbGwjFRd8z7QBylenfOhZAAlzYwcMbL1gmG4g5Xj7ISLhQC/TIjVImEeNi8K5i/tt
OTd8m6HzWJS5jXKEgqNZnI3xQMVJXwPJqqKQ6ZQjlgFZfZNMnJdjMrQ3QYbdZYbBYqHMm3K8hjYl
vBnBZsEcCL9tRG1uBR0Nuq638VjmB6LVUqyI4tuK+N9jc8mG+utjc9W17ft/d+HLF30/NW3rt+WQ
i35qtX+cmgRQYkdm1gP8hWOVA+v7qWkSJQkplKcUt/3X5cOPLjz6jV0F402WSQ6Amn/mkft6/v60
KP26lwBJEsBQwImPdOMPXXhfjTTdSeqgp3DN9Tz2x2Fy0fcKhxmfX+8UpdOqaafPsL0c2hz3rXHC
8zaa8o1nMqgn48HFYZ2etcyXVqUJEk6YzQpkWLcZdX85Nr7ewMVVmMs6uoTyKc3wQMviFkPYvpza
E/fKbV3RLIoapmBU2RpknX1eSuINEiOgVYxoE2BaHOYh/kQA12cvSQlxUjNoyVFeeYlzZQ3+NqrV
KWCam3uzc5z7uFl3OfVun44Y1uatHVYfbpXedkPinUrgAKzNXkOO8UjPzIElYGmbI8uxqSN9V5Yb
p4rX5qjIn67Sh8HqnnPcq2vOywOTY+T9ZEqtZOo0q7anC8sq5zKX9QnOJaw0Do+a/nWFM4AyuQhJ
uGuq9ZDUV8LrgffKNt91WZzgtmI7neO2QJGWxJfaJ+gyjTqooOSnfIQclZe9G7zNGb9cSFPpjR1P
5irVzTvEq+hCYMPwIoQXdAboEkodXmlEnnSvA+8a3IJVk5CLQkQ0IMIECUIvLH9P9hZBDk3vHdwx
SG7MhPnsXHHy1ElG4kWJHMEZBrXKJCetORXi4DiEsBhZZu9FWkBMIE7Q8UcIB3jLDjKOrQ3TR3Nf
uDpDplvFOxfN3LaRrU3ioyO3pSPOsd2d0WVd5aV1bKdk3mQy/EAw4a8Ene3W0BmS7A7cuBUH057A
p2JrCrY4OMvhfaA127cCu7MYG2R0NqRCSfeN5djKbsshCPdd5VHoW7B1TDOON7AgHBoAx7gpQAut
5MxPWo/wqTMqkl1ILOBaTAMFuUqqrSEJjIYfmJ08rYd9Yqf3k62v6U3LLaEm00q11asqIJFlqc+g
lwvmVEWalAuuL+CYy68os8vngWzOTyV52SudRuVh6sp4ZY80AEVcIp8h0myVVjRUGb93nINGdwiH
IMNl6jKKD7rsS75cyqYI4m2fSONgtmLXefRrcRnRpjPclnBrV+CF5Sp08Z8YYgg3DbjptY/u72a2
xhsxdrhRuGS0LQCnFnZxybClPXgAulv2+C3X8w6+WofPu2guMmskenShtja1f/SnIT73jaCnHyvd
W9voHrJItcbGbLsRoIY9WkQsd9XbwHcFHJORWsoCSodpzZRlurcMMHAj/ffa7KNTKW2fIIbJWkV9
dyxw462qgJ6xLZJtVpYGDE3zkDnOpx71CIOJ9F7W4hSI8noI9NowggvtPeOZPetovR9pHd9xmZ6P
pMWsysYSm3DoBgjpAaOkaBnbkd0Kt888t3m1FFVl37sfdR7akAiKC5PE7lUfBQ9zSHhSJmaaIS2/
aOxAoPflUYnpBiPEeedlhB8t2XKlDNU+z2DFj31K8Nxi9+yJaFvauWOp7WodaIfGduIttCBUdUZy
V4zxs6m6JxY1nIJm1W+CvDnLButlzOFH6nzJltAq2VF/km+GtCd3G9y3emGNwroodI9edfjcwZbe
oCy/ZuMXrpQMyiNGOf5ma1K+5AVY05YUJmEeCsJQ1z0QeWGq+grV97QSBaJ7Y4w27di86xgTmNdn
mzi1/ac87qS3JTz2orTbN+UGx7LzHunFvGNG/Sma+ZV4HMI21Hjghy52KR4ANnfzpvCDS3I09mmk
jJWN/TWPiOXrlXUwaiSpQ72hrQULkQ03ZSfPC1s7wASL1xbscFA6l1ZS7Q233idDuuE9ZWNt8f/e
Sxpm2Vpn3QfJHtdFPTA1U9OxlW667YJibbj5TSxjg7ugWxfOdJa2xY2MjI2VpfdFnmxTvwTzypq7
k9l9kRHaYQNNL2NMo3KaD1jczlHHI/hnNhvZa4R171isCPVwQtIAYMHr8DqTjCUSv7zFE9tsv5YE
/9ZGFlqbv66Nzl/yPymNlq/5URot/ic0Fxj0MUF9dTL9KI3wP0U0mWR2fEcNfSuNnOg3b8FbBRTQ
4H6+6s6/LyjC3yiWWCYgi10WFThD/8GC4k94QsvSBIU50lh0hzDdf20owW1YDl517yrvi+SMOVcd
341jXtYHiJv5flhCjadFAFCTc8zNWRyxVQ9rbwlBzkkPO8olGHkYloxkUUCPGbndIGUv0ZUMVkIP
n98gmFcyej0ZbOMvgiUUYizMnS8Tih+KhGgO3z16D7QOA4bl2J3l2k8T+IrDGa3YzgjptTJbdLdt
r4/Ml/3nYoxIKRZptB0sVN5M32an2g92cltbJYwOnzRHroaeyJrm0M7WZYQzJoi7m8wJr6AUHWnz
77KQqbnSj0YSVmdlrM7qNDo2qZsdrWh4LKgpQiO9k7b3KclCTPAh63g3d6o7SydPrDqOLOS3woyf
nKh4WVSueLLBguRtP+x1SkeVucEK9y3ig6YKVoGKzmryPFd5Y58RjHlZF7AxA5Fc1NJ9adL2qp3L
j5Zf9AplyHpWAybvuDoxbwrWEiiuFzG8npBOQJ4g2RcaSm6LTwFC4Y0TTKc5Nh7DZtnmuzDqW3Hs
Esa7NYHQKNuR9i/hdLDjfeJC1MEe6qd8IoNYwUT1nGbeQRme2VGkb+BOoMZXlrcp8Tb5RnYqksjZ
y9C+BLJpI5gp0g1HyEMVpy5d3gd6BvPg5360jROyBVGBgLG1PowRwCu2l6u66IhtzTJO8KC+D5vQ
ODei4pB7zU2BloZoUgLkcP6KtgrW3iKdGM1kep7A8oaJ+yXwtLMVPQJAS81PLrkQXuKCV51vagaG
fWM9DeBCqd9xvUp32pFlHm0rjJ8ymA45MairxrX0WnTD+xhGCqaPR4peleyE3b2BUxgwuDo7Ipph
r9MWcz1U+JEzX78C4LbPR89LKRg7Apvb0GJSOsAX3/Pz+wc5WSPjeC/rIuxszRSs2jAAycqUlHfK
RttA2jhfnC+/8bnk4s7iFn9TS9w04WOwo3J4x1gj0sPUm1czD8PNRPbbPjdCgMwu4g7sFyfHEc7a
JRzXqfmamQS/K5EkjF9HU0EWZmuP9NehxLYmc4vcZzzKwED2UqvsFIbjvA96b9gqmPSrCTveyuz7
3dDKtxDKet1TuHFIXTignbCDRTeTxvinC3FZ+1XGOOPzEHrTXWMZ+RN0CETEtdTXDpxuK25INCc3
lR7KybcImFF4E5pAageCg2U+EpohnxubeywoTaJ1hq6/lK5LyryKGEFPFzkutTwCwtPVDUPawjdX
dqZfm87YW1jKVj3TIMLxnJXrhSeDde3JSopwoyphreywbJ7toGYCUZIjQ3aqT0wl5o8yDQrq7qaC
hlzI9dzO5ltt2Y9CyngXUXdA7B7CfTljGc/zwtsrScC5pqXb93mtGPsu72/sS6Jm4rM6SvfFMFwi
cxDrYe5OUDFu0oGf2jQ8uGI46SZnn8m4RaNMvoGYmwtCocP1mLIWdMBCOy3bh0qjAxbptJOlvEm9
zN00Agq/CkngSToUrpW5z7z8yeybfWfouzlHWlEUKLFSNkKllV/orknYByISyYJmH1fVwe/0R+LE
i29eEfpnMMS3SPOzL8JR3kstivMo7a9LfqMr5WbRVir44wlbDk+0n7Hz7Aa3OoP98T4qm/ACJU9t
DvQ2scY91oS7fysEE1sglpK/qxDO3ps/GznzNd8rBAARvuUTWseA4vdZx39GzoxIcKW58IeQI/gY
yb4PT5Y0FZyI8DXRKixGGLSl3ysEl6AVclFM0CvAZG2caf+gQgj4zn6dnUR+yLG3wIUoOihhfi0Q
0Dkm2HXn9jKgiWCvkSHHDlO7AGTgRpws4Qs4nGFXL42pNc3CNU5Shx2qxYAr+4lZbhdfpbHqWD6z
HJOcwwJGSmV4XXBduU0zXJdDdVk5eXZvNIMdYWudg53Qs74Ji1Q8oyyYb6aSu4qQF5uEu2hQ8QTr
pMgQ5s20ebXWyaaGANGx3zYkhjarDQr9JMmYHStqjZlkhI3T+TrTgCbGzDpJCaP2Lpmn3NhnzApt
VlVJs4+cxISDXib7sW/9TaMGgdJxqrcDgaucDlhbh7Ge92bus8jr08465LCB562juynZTHY0j9ui
c/z6ogqWVL/SrQwNEwM9aTfplFAXWyEW8/2F1hJUcM3LSe+tKs3bu9wp0O4hWyiuRtAZ9r4O+P8p
0epxHtyIdPU6yQWYi1QFx7qgbvu3iP+mM/rbAeexnP7Ej7YYhH48ot5vPgZQzGWoefBjoa//XsTD
cAlgp9gU0N8mlT8eUcAvsMFs/O7UeBHi7P88ootDlCr+Wzj0ghL9B4+o9RVl8R/XBGIY4KPO8j2A
Z3QoVv6g/3fSAiZ7H7SXMvfTnVqejFFJN+S5sfu5r7BJp0iaty6qobTc5j1cJc9qeZiYfE5EG7lT
5hRndZjVEwtoSA4e6o2BZcnKGv2a1tgrUmdvBaWEQOC6RaZv2PeQirIx4kiVz3Pjd+510HVRU24C
BgLuGWXToEdEGrXQL8EMn3JetT5QS3M9jk0f4Znp02YvdBVhkDfJD2CKigdocD/VqlrnIVO6ulNL
/Gsu5Maqh/4sm9S0Q4BSXgZF3t1afj68mkSNVcdepMlr7zbjroCEf06kutoSEBVfCgMPOVl26YEW
TWLcGpwJDpodH3Wnhou8DAYCj/p208TVhyJfE7SzbTcv9OuIhlrX7tZp7NnHlDvznqJZrvkNem/h
XET7Pi2Gc0aPq1jNGVZTFwz8bIL0dxISazpzdPHF0pF7bWscWR9Ol43ZiF3ewfdyKwvsOmpti/LT
cl55m3AQxSb0BasCn4L0134GjDZfp/MM3yy3O/s1pyIkc4IUnSkX+hEuC4FVaN+uyypKNnMou6uu
y9/4lZbHGh8+jUpG3qHAsHjhYl9iV6PSy0nmCetCL7v0Mq33EQOyrZij8HKuM+8g61Kso0k2qM6S
6c31x+LcG2L90EnVwWkUBDUYmU2NYy1LrJS6ZooAPlhj7d9YtBO7rPYoELOvOz5TndEo9Wda5yfk
bfN2Cg3CmL1p/BjctDiElUxOo8rAXXkiMC4ou8yTzDShhmoqilXbkk1dT8SMVwmzJHfgUzR6DQLf
2Y7iE2s3/6GLjM/KTO1z2wirK779eGfk0r1gVeTu2qYxr6Y5HUn4GMQxydAuKKMVF66uptu0ITQJ
jVi9nbKOyqef453+ep38W/z8XvxQDvz1eORAkAtRXC0n6Ve3zfHL//j/vp3IfN330xUODCZak+0Q
RyxAFw7e76er7QLP8piQsFX/Bs/6vj3C77LwseggTNwuyD9/nK7u4pJBm4EVGC8lf+cfjUj4d36p
f9yQc5Xyh1orsnElU2j9rOBsO4Z+gfKG6848gdoQ063Sv+sx/tI4wzzolxfhpwAwGZjgIJGK+jSR
SxH2k03WMhpHiFxX186AzRNtoafZ0KSOXTrXqYkaa1Pj7M9vZpX54SXRS8FjkwR2fgOnblqnphzt
k+1Xaz2qY52O50QxkpGBUz8DfdXNDnS74jr2jE2hjOOkI6aZ6q41Kwi8Kcr4OrgdM32IJwJOUznu
yqy1UNvVJ6Marowwf0XR9GKwb+iq6sjc9RGLKvvYLCUOTm9DuyC0Q4NHH5uPpgv2VZENm6J2A0or
t1sb0uJB9oZD3WMK6AJGFoQgO5opZfmY+ObRBBjAIVhBQyzfCShGMI4evprke1zBbQ1l1a6UCS6r
RnpQFd153AbDhvaP7d2wZF4G5uuoyxOYES4Kt7zvreQU2/anZqT5trP2cy5RqaXT8IYQ/zS5Tbmr
RYWIdhw2UQ0lB1aYt45VcwfvqFkFrmq3yeRcYOMgwUA7N8UQJeu57x4N4exmqH1IaBFKhHb7IYKa
wStIk1VQq+tSuWfB0LhbLLtAr/Ia04jJIgrpZ0JETFdus8rmsOzJenVRK1lM0BzeTqSjxq03YLCU
dnGPDBUSbpg/kdlErNRQHSOrFZdFO1jI5fITBzBOEIvW1woTbqA3R6hd1PmoIAd77Y41qqmi/BzP
7PLiOgQZk5DHE3bNpu0xrwTeW5UtEJmJBKPAfQs1lupQZB+hhLadUDdsEJveJ7X/4UJWMOvsnTN9
WFtaHFK7SdmDhWuFJK639aslhLlu3Jak6Lw8ArfB59K3O6T36bpzmMC5uh22LllgUI66aw7rT32C
fMEo2mPqpM3WctM7WIzYC0jhWuMc4eJmPt0nAVQ03r8oFIgYFwo4o7Mx6j/nJpvDbPI/hIiePa4c
WmTb2TngMAlvTfMLqpRmnYgMyI9nfkJLcIflpDqluXOV4PvYpCod+LCSnUdk0qoaapDMA78Pkkqf
cj++93vWD70o311Wrru+MT/lSfFJZ8wpRiPMNn3SXjBh+WiN8Im9GaRlIl0Dx9L1BjRlhK529hUd
hYNeobL59G8Ht6ljDAXE4s6RVd97yYAZxs/5lEdF/ilHU3T05lFc+85wX9f2wZird8K2j+husSio
6guM1wXaxlq5a1Hg5kN71jWZ+Oy6LUsLkle1/8C4aQRFSVyhBMSTGcZt04lIMn8tajYjsgFuDejb
CKBXNVht17rwPEzZbAUYno7K4VL05DpYxMSspgiKMhes9KVWwSPemPfMHGsIIXBK3dnayaJi7zyd
OaH7YhDbRG4izO7uKelwNXHm3DaltRWVdass54gq55YV0sY3kgc7958002RlmWfRkFy7QXg9yfRi
1u2OXON1HE1fut4AwBSITa4B/LAZWecQqAPdAMAMiVKu+stgSYOrmXfAUd6kGWnEKqLbE6Gxig3j
amqbB0nUMlYu/a7bdGfX42dDv3sdn8TeD3aOy0oW7uaA7SmKB6aTopsMY2tCSX0Ikn7c13Vjr0UC
cNwLq7a6zEHPS+UCs57rbdCXiUmsFOcWeYluNVEkz0iKJpB/YcGyLHQgWNV617TD4zAUD7o2nnBn
OTdm583XXHj1rinql9q2jmnjfBnj8Kqep8sIp+SylCMhPp+tTQZWbG2IIttJ8oTuXRlOF4lM77Ik
eRV2Y6wHEkDPmnkKtpVsWUaV5oTzMn0qbd7FIb3PMiU2kWOcul4/dkxQ70LDkbuYVB5CFGuG7hl3
D8nGnAGdUfgbTQT9lUEGwD1ZYNNmQiu2TRooYzzlGhCt7jZuG8gDT3O4qYt24/qAKXqrHfaxjQTC
AZG2H0ozBVhYIVRvCco2CirLoYisg877a4j4t+AT17An96J30b0a8VuG+Gc1+9Z95anHxhrvEq/x
j5HbPSoa/gVKG1/+VIt886/+HIC0dEX/6Zq+Xrph5ELaZsABKHDhz/186fpFV9mhXXfXipGgb13h
OPT5rj1WgcL9/Pev9WsVsbwWWkIAUhYATtJdgsWH/tMFr7UaW3vQw3UY43x6qKddajz8n73E8i38
9BJDURfF0BXDdcWDOWHsTPtnt7r733gRQHmYWXxqrKXq+vlFdJrnoyiH4dpp7mt1PhqXRn/8+5f4
77eFX9VPL/EHsU7bKUgY7jhcu+GdrHfoj/EBXpXBi5j+F6+07LZ+/QD8+krLd/LTb6xIe0/6IPWv
a6a5VumvU/vUsczqt71E9zyv/v4H+1W7+ftngIWBR7AI8wBv0Zb+/HJArce5aa2B/e+jRQcT+PdJ
ejbJx68v8+8qdqma/7rX+P/lyxfV/HensXzVj06DzoDAKPv74IV36EengYQNcRgthc2Sdvlcf9/F
MuABKeSQ+LLw3/jE/Gg0iH2xLSSO5gIdYisbBf9kjMMO/pfP4yJTo71AJMpqlzvPc//wyVeVN+ce
ppUrs3DugSDe2bT70tU3+YhyDG99ekpMFDKWexATrmC5RA/EPUDWduzilVlXNS4GRDaKrALTRYOC
Kd5aDS6WWT1bN625pDhE/Fslc4BtweV8jBKkmVVa3DVLKMJcAou11Hhh1BTessTJNSwhCsboxRto
5gLdvw2SqB3qS5PUBWZfLHT7uTwXtk2R7tvEIcfkt9pLXoOOGBWj0mSZiyZobsr7tAydTbHkPJgE
eTIz3oGgSRCMWFzurnyfCYdozMJYFbZ3UMRGGEt+RFxr2LwkSsxe8krIjsAv001rprNbwJrCOreW
KIr0pXHWLfYUpdCcDaScruqZ7IoASQ3czTHf2LOuthURF8x+GQu3zZeO8AurrQZM8PxADZBxTUAG
h2e1msqtMZ93ZGeMbvjskaUBvswF1o1kJSJno0kaFBW4Sdw+xEQDi56Z8BLK0W2ZzfOWOIzL2yTR
x2CRugLnvbWTwb2JyPcY7RJ7WdidxUv0R2aBzbSXOBAd9ODm/abbVjEtSLHEhsT5QLyjGZ4j0T1O
Xca6iwpchCWBMprkliV+pHZksA71BOY4kuOWQX69TZbAkqQ1KQnIMEkMJUjrrva1KU46D+7daH6x
lugTOeWr1mxZsKbRRtkYGSqHXVzlVqSD90smeX1yLH6WmUSVCHbQOo+t0mR0D6ApjInSCaHOVDlR
XG7DLY6FwYaiwgf8JVKg3xskeZTe1iNd7EWD7G9jIOrakB7+Tk7Oe48Tf6dbCrdah/EhGL1XFs0m
ykcbyjpzPJIvujsPRvCZDM1TL8RTNUdQToBQeyrdq8FgPoS/RUOwwdUWWyuVx2xEtb5sxczj09+n
SfxapzSdpRONANTlHWl7y5wPoL0THEH+J1hgiH6cSFVRkw/1ldLbT7xPTWqmJ5SPiK/FfMe/OZzX
BGeux0gpBPJ+sy6zmcBYEo53VrS8eWjV16Yf+2xH3c9aCWKT5g51si7Lk7ah2YwG2qp0ypgQavyK
88h4PzGRZZdp2lwL30MD59BIlJO1Czv5ENqMBBPq15Gee6VthU/aqcptXAhyYLI842lvsWJnS7KN
8FMoEN3RnEPziC/sGFhxsff5Xla170wsenlKQ/a3SNHmlarLg9vWB2H4G6FmSmvBjrMqDIsnzW3X
hmmPq8lNA2T1etO6Fgti/gM907VgGw0H+5M1ijOv6U7KoXJ1m7s+IE5g1nLPeBgikYxn8BnWZT92
ZHx/Nb6m19LtbvJkeAhzcBVyBiSFTCKHlrCSSjz4vX1yR/OA0eC+herMELg0V0gwHYyP43mOyjsw
G7WTU6hRaI0XMSU1yNAlSdUinLc62R1g6kl3H64XP2eJdeUqQZlSXdf06oB09Wsce7jA8vmxSJE3
unUYbkshn7UMEJmS6rNq7epepQyxMVvgRudTQ8rtlD84nfCAEvolyVpLhEuqRhTyhLr8e4X/Pi78
2yscu8J7k70U/32JWz9d4hYzQRRRgEI8hizOslb5folb/m/47wAH2r+HrfFV329xZoxgNM3lgqX8
Xkg3P/alNvvXkKxKN2LQhzP4H+1LYfD/4RYPcKN7NlUEjcUyOfxDqY9bsilHo54uRqci58nKzTBg
G4jS+sOc59JjWsJ5ywXkZGYwAwLJ8wERyShoQnw3v43tdBluxcOhsTgd0SDbb4mpcVlG8Utj5XcE
k8hrKL+4CGff3jmLwYQKRV8o3/9IKwAL+BolBS065bTrnG2gCc5qsfZgh7G887nTkjBWfCtgRnhy
1qOv07UQCVwV03JoCKNz4bf5WeTDO9LVMO0aj4EUKTNINyVsBRlZxJcjOb50++mUe9l5qNr4TGYk
UOcGSjD0QnbIeMxHOENJsxsjnMFOSyddM6YhBTsgt32kqa3DrtyYrvFU0IBV/liegrS7t/zUZF7h
EgSQMdVMosm4bIT/NpT06jXsnb3yxMcsxHMwZFpyBVskDcdBDJFfTJ+QZMfAXNKLRDvq2KXivU1m
+4nJFRbYolW73i/qTaALYDygrClZojI66w2II/5gGicCY8xzLyvbfZbaSNQadhBNELCOTsQd45zj
kE73RsVxptzS3Zuhugl84p6iGOJzaIKp41xQxzmn+HJNru+RNfO5lXaSYqRJvae+So5VbDr5WRtP
VrtHBT0x6ZrRFDUkQMpVj0A/u5gsxm74PXGzQgzhX4rWYWS0V1UY1ahTyZ7xjlU72feG3RUZ124+
n5q+jK6yfqIUVHOooPrwS4ivohi7Y5rl0UdvRfm5raKNlcj5zu1ptf89vX5fWiyM379uQBa+6Qq1
x0vzJSv/ZKG8fPX3RoQzjFkARw23BM/nYvP7cYYBuDdJHVy6CqyDJquA72eYx58Ql4ozBkbFr5oP
57eQwy0ENQHp6ysH458slG0Oyp86YxbKiAfg60Pz4qC16X1+bVWj0TNYQjrppYGwfOP19ODhPDlH
v5/qZ3IgMbm3Nau1lU+tHKyxnngSN1etxadJ5GIbzcxQL8vGdjdlDdvaXGGM7W/GIVTTS0coCiVs
gpCCGn0sesFEvCYIBSOxgxO7XvHg1PMRuWqT6H2LsCm9C1u85I0HaX1VGgwnVnMyi3upiv6TS2dt
r4vcnGANh0T22AKIaFUVzI9JDwEkzLS8QG7yUFq90UGlbPuHSkaLpNOrZsZl5Yzf2tB1uUbdGV47
eV9BdarFk+FV+EcYvmPh64v4KjCtJFwBLsqYVnJ2rSlwJDLRDBJipOwjI0G5lo7oSLoO5GXgl/0t
9gCy7rHpuAi3SlIxDXYNXVGHzzYJSPM6aiM1U0J2PiOBMPOCtbCK4BYekpoRr8nsgFN6fpO24WzS
xJ10uZ7M2mvsXRd5oooBfHW5Ooa90+4ZmU2G3mSj0T+1WWNZ7Prx37n/k73zWm4cybruq/wvgAl4
c0uCoBVFeXODkEoqeG8SwNP/K9VdPdU1Pd9E33fEmIjpUUklksiT++y9dqoN7P3T31wAy2+eABKk
xDd3XuTyf5vrNto6ar/cdO2I58YruxsPxw8ADKxLjKomsQVsOp7BeXABBDY4l1KJRrKYnUrQOvoy
+NAbgNmHZUj6klHbcj95Q463zR5II6IIJvlONcreWbGnDdN9o7XphLs1McWnLdzo0zM8Zzv0Rhjk
SVw1uBb0GF8egYpCoa8aS0D3jMu2bq8bRfEgg/3O3f1HOpHa5n9/cm3zz/IvTGryi348sEj4QabF
iuZQvfFLLlr/F4OTyb9+H8j+/cDyeGCx1WSq0mEMfo1qP0xqQAldnT+L/5AF9H/XASOHqn9LeUgn
smFEZd7SofoASGSH/LO2honK0afB9a51bLi0AWlLvW2NKipvDKWM9Y0V01z3ylTS3hjElOxDMSL4
L6N3slPv1JYUedVF9o798yBJNaPe47U0Te5UtZFPxbo1ln05Gc1mGL2bzBXfCZMkbEq45A462xIq
3brEjyzg6yRAXJIgU63sFJIhVkv0yEmrU5SKm0yGR+y+9SPcw46q79QUqJdBzoQAEm0GJE+ITJ71
BReajKQIGU4Z1Hk3y7hKqWjvacE4wR1037rOM/kbuvzEt5qkiwsvGG4df7cX2VnRy0AMUvpnO7t+
JqMyqQzNZDI+syhKMEETXuujtmtI2FBvMK6FDN1khtKySCCIAyWBv21JfLyrlqeCxI4roztwUnXi
3cR5dHI9sUlYzhiioJWRH42d9CYlBeSSBqJAlK21DAhpJIUKEkNDmt5RdXc9ySiRUoRWUMh4EXHK
PZRBHO0JXhkNFIuvCrkUkMEkItAGa4mCQACppZr0UmERAo6IXMd6+jEXowtKgahTW4WPbg6dAtPK
G8xpDgtN+97rykEjJyVAL6QyOBXKCNX4FaaSsapKBqxmGbWayFwtZK8KpRTPvJ7H3npdCvsKzyJ7
jBzNNj1wr78TMsTVCuw3vqZ5TXyi5nzA55dkEVvenMpESkNBR1JGGlnOPu9cU1lbY7xNXLediPOB
k2dwiw9OVo1b5BYGVN4D+LZV1Bl6wL27kPgSjVdf3vKmWuzdKA3ndWuZuZ9LG7rG0Jqv4PnoJwcG
MHQY22VjmKn/KMm/DXImj4f//jhkkOvf/t+6HZb/vIjKr/zpmUhKB7MGDUKUDUrqw48hDoA9mpiN
Gw+ZH6cfX/VjiHNA29sMfmiE0poiC75/PBNtnrGqxS5KwwvyBWr9G0McUelfn4lfD0RgsVxIZfb5
l12NFyoVVWRYonC8VoE22y3aUK5DNCyfktYAhJm2UlGi+SfPIOEtVr9vLI3mTRUQJA7Zg8jplSli
6j57ddhFdPWCf7VowUaMqcqB2Cb51dRJ30XIe1sbsTyMJe24OSzPjVNYLk29s3eJm+LBat0Wdx8a
FGvN05zRvxgRclGTpzA17gvIutdoVcoaIVWsBvihG3XSWCjn8VNoRhkpAe/Gzdia0G3+iV9mCCKK
1e7LxtuhzB/TepoDdUKz7SYiQOJ6qup8nyvNecTQAQNha6kduFlrOhWOrMHBCd/OFdFLB9psb2wz
1YthtXbf5gQ4aRVFI1v8uV0bSQias7kzPVZ2k0k0x2xXXdsm+zF3XjVZZIR14EwZMWSsJdqHU+Ou
h6nYxVWi+VMGVjZvMxiKy21IjnZnKRq/miEZj3lCiVNhRWevTg6YPYgW5oysvfKRprkHwLJxwC0k
W7EI+DghD1JlxDCgxSBoWK8HQ86kGtEPatDEQ3UUF/TeuE1rB4PSh+5W33k2bKjTAIzW4LuJte4t
Hkpz3YU8fk2nR/KD6mPIKAUSA3v9EQx7biZre+5ktfstJp/q0hTaVTOl00ZttHqTWJKGynt4u+j6
vblgF8lGeF2K9UC1hndoxhTSbp/4dhOC/qJVwA2zgIDkEYzFRYSV3+ckqEUZVMyGPpyhJ8/szG05
0fEXShuKl7PyS5yruZmf9aoIzJItppjrfWGMt2MHG1hbxCffecJmmSMfN9p1WRVETLX5kk5AO8Ms
vvIYsk+ER961NiSU02r6HrCT/RorhbNpHAbnzVyiJKpLYGVAP9t0rM/RqDiHOqq6GzRZLuHOHPVk
bmru2rTMfbi1Kw6jZazc0MGAMO3koDpbhvCNsH3xTEHj6IygSlfLpsFGWg/ZrhX4jgaLX7FLGF8p
4uXBqGEOmfos1kbt3FGvdOy1+TOPm8zXMus2Dwm+2aDVlmI8SyVIw3G5yWwTIbWLP9Kl9vZ95XxM
EtZmuEvH7QzaV6V1Nz3+Iz6IVyGKk++0oj5UTkvHiqPI/O2GBlDcQJE7rIix8xUTLe+liOYg1cLv
eR1e8nZmtV/06jXG9mqNo5dyrAVbsF6qm0W1mx0INzitpH3D8iBSnYtGqL+kNISvbLvvTzEunyuD
EoVPwunZfaWyQ8hHd1ZWWh6zw/96KP8zrOvsof/76XT+HN8+3v7zZJJf9cfJJB2QbDFV9PzfoRt/
nEx0VjOU21jZmdiBdvz7ZCJ0qtu269iIlzKpyqH142SCsqlaXxXTDNhyO/o3DiZk118PJkdKG8D2
JWmJs/CXvXs4wJGwwmS+TsqLMYNmhfcg2Md5D9OiQ5af2SJ6ennCZH2Lvep9ZiWxdpSFVWYM7wDG
mrpywNsCzbhGx6jYqdjvQH6u8sF7hLX9YIjy+8BU2khSbuI5L7RP1iu3swnJg9NV9eJUCfi63I0p
EF2Ms1CbGGqkKtck2aNNj3RgVATANFC9Ov1Dq0q3nrPceYzm5R3aULkOwftiHHsA331pwf4mLgER
1cOyABC4qqboHIIIrgTme27kR81Nh/VEv1sBTtggnJrypEJA2A/ghlGrQ+4sZVDGytMAkNgDnmfp
3jkHVLyYMQQ4B1gCFcF4NVnvpmCNG5ccHIrqCjHlo/KSa3aoNkCiZr5bcEEmY0gbXN2tF3AQWKsN
PDgkS1YR1OiNp1gvxZIB9EMzhTao5genSjwfRjDbHQgIYI4kdwBEM93nvofDzRXegkVzuLNnNiJL
az2yzqMoL0pa884D8cSTcvjCQCMmd8uDJsTCcetSSeJbTa/KbXM/tudpjlKC63GUmz6uedTcEfHY
JgXYzVs1n8CfjPZm6BimiThuJ9Wk3FRKQqGlPZgOB0rhmJ81MeJcBTY99svrYqKE2x1vnDgcHvqy
fE3yzza0DpAdq5VldmxNh+PUQuC003JHIaOyibOaaIMzXnlSvMhm40h999Nsci+sOSsLa35rNKt5
MIvuNirMWw08gqgFjONpO6UpvahWaEABCHc8lKt11BhHGMIQIJTa2c/KjD29cB+VsXVXdqMEwtO3
asJVhS0dx4fYLx5VEGpVk1iMSt+TaOmxqbdJghOUpQCZvTAwBiuQTntQScPjkudPuaV/rwx+Z2Ha
PCM6n+C1PsxO/BIVIKepW6V8y91lJRu1tiz44+MdWwVnDcJ0U079oRhYf9Ge9Uy9y6rUmrd+TjYY
ko9emgAaqF/sRPR+aIiceuuSKa7N7wezfWBYGjnNzI4fLTtm0DFriePunZfGw5OIcHXVMnUsMVK4
AYVxVqatOs/rYhheLTe6pe4ycLTy2jCt66lWPT5ji36C4Af30i65dXHQGVGQlR8ZC4Zh7NNNJ8Jt
lQjJOjU1v7IAtVIM6Koh/4sYWFg73TNrjGlNv/sbaJYS11bWr9UOGmcOcH8c53vkoWo1VTkR7Na5
L8vo6Dbqy+LGV+zzbgzscZqaAXtsaAgu1B16IG8jp9mPQ8EbMLzPU7JcJMOIpps1HyjtnrfxM8NN
zGOhOveJfdN5xofHlLhJFUSxkIb1otPkIatjMg1LSNF27K1c5g+m3ilnaePdZhnPFXqQm304xuqG
CLEIStt7n8L+LcubS6i1wzp08Ft0Qg3XBRiWTZtax9rtzMtiuFtKK2P46xKCXZfat3BmikOABRpU
nYwletfgZiO7zSBrQGn3mX6OEUhXXR13AXW8JfTZ/rMCUbIZ6Oj1KV9jSdM3Hh5lnNeEoNgDS3x3
aLanBZ43MaFDAt87jvvbNiKVqgqEYAjgEyRwKNuw4Zld6z5WV5bEhc9R5KdxMazZuP2zWfjtQiqb
PP77ke9/5v/vXLV/SeHiC/849Y1/Waw2Ee/xz33tMf99HzUBatHxATOHhSRHwh+nvgmfi/gPkj+H
Mu40uaX4/dQHa0iqzXE8pgLDorz3b6XUfr2NmsQa0K5MLsUeSuCvK4U+JPWULyVZJaArapacnChb
G+O8+ek3c/lN8vvZ1IlD80/TxZfNjqAeW16wGgDEnF92F0qkZjCIMnEhHpvtacJyzY1FbrtIWA1U
egRBVTiQVfrq2puHU5PVD47OZ67uIEeLIu03GVvW48jO0zcqT10bM60JbALIeYn2WXQ1C1A35hCT
8Ky4y+9qvuFar/ML8PmSY4WmQrfRG65FY7Q2YBIAZnKPDT2/hDuwjGjdwoXQBjiVlUFoj4FuWhBs
cYb7XQajwTGfFHbGeF8pOteM55iDjPJh687QjVulmM6KYvH8UeVHUeqJLtQKb6Q3oIg2rGYfGPJz
aipGGN6SQsET9cZSFtLew5Pntp965LxGxfzSLlzVswGmdz4nF6sNj7ZTJAE7ph0DSQvCAmXAaNsH
ZIRd4sIAoQXqCNLkvRRxFoxsgn0WQtCXqqn2lUESoMyqDDQOZa0oxvViptem2wbunLPGpM2Y4ep1
cLSHtgPkPRXDqtLmW6cZtpan7yI7UlYAPgp+UCPhUs5dlfUrGOc6X/OAcikUePX6YqOyJxoa1rbd
YBLow4/lyiYSiA/bzBm+u3NHe4VtXUFstPa41IA9V/Zac+azLhjC5s5kjtTw0Gv5pSFhHBiG2C4E
xqIojFa9Zm69kd9tLJgrFBsSet14ryUgMRwgt1VJhaWxdI+JjQMp6jxAVX1+14lhr1konq2hflNz
CMiRmB/zJLG2k7HQfoeFqIvTcdUu7YeW6x+6yPV1Nmk7Kn33eAy1dSbElmX5TZG5PgOYfXKMhfqT
vPy2pPVz7LCjL+zq3h6RY8zGyXZiMLYOxSk691AkUK/d8BbD1sRNdKNNcfNWpmSag8VVoEhbNrQD
TZ0y6LKzzl5tZ4qG1bsjAs0VEu3UEpHLLTw1FLRRErFvTeMDrMuefsBgXCoEnjmrx8fMMtBRwWwC
dLAo4fAHdBo/S/W9UZs7DZZbr8K+c5u30E5utUz5xIRNW7XX3VS8G0GOjfdT1PV4qIQPqkPbo/gy
oIjx5LZ55UtfOlRnWCHdmIDTisSLnTodzIj6Kko4ETuu3vjO0J47BOHMH/tuJ0T/vIQYGCePqTNV
L2lbXWU2H1mjzC6YCY+5ouxpMTMZPeN4s0wzVL8x+bAFq8xUgLWYBu027m1iEP1ntkSCtnoAXHb9
DH4Bo+M+NtG0e2U3284b4vnrYs3ZGnRlh2jympt3QPBBoQ2Hmp17DgOEtuW1HqiSdGf2q3gxNsIw
dyNBlVaLwc4t9bg1nLQPVEwYq2g0X0vU636qhB8qbFZNUW8Hpqa5Ei9tlQJlm83HvifJCY7UbO4r
wiSRSycRE62MmPyPx+ifvajyKcpxYRIsZpcC4+DX2FvXgfgPZ3u+CIjnK3MbHqa76mqf9ivlrXyq
N9keY+EqPFK8zIVka/wPazbH2E/7nN+/vSxEhl+g07Qpf7yfrNltOFijYg/LZXTe6nDvqT2tQK9K
VfwmIvzX6N1ffR8d9JHDZZmVu/rLVZSLlqUl07hctOQUTx3EjU8v2gMj/x/f58+n329/H36fnIHo
utx+UX1//vs0jVlbtJ+rF9s6tvZ1bRBa+l8ZA/OvXrOf/zK/fJMhVtVOz+QvLegecU9uxp364frS
nnpF9Dla3bYb4DSBvns4u36+Oo+UEj52m3Bzkx7Eaoc+fAJPs4r8KuDfm8f/8Z76873/t1+CqQOZ
IqIO78L65efLB2p8ylnVLnhqznRpbdQr7Sk6UPStrCmVXx1etO20PjeB2FEyVxxpZrgBBhiIVb7+
+lH+0Y5Uxrf/PkjSDz90f6Edya/6Y4rUABpIqompO7jr5H7iD+1IB1tA4hZwAb0qzJN/TJEAy5gq
+Uf46yzkJfn+/qEdudTyymwvILMvA/3fSuPqcnXy05NBmuQxWbBrZhEt3TNf499PT4ZJhFEGBp6m
9KV2KEKzEX/fx9jow2sdSHtRwGZVdE4IidUb4rvZpMEU/bT22QqqEvdPA1veZJvB602fvJu6U1nn
0TlhAFMdqzcgJhDdreRtabrJL4y4o1bTPuas7iRV+JI23mMdgfupCyaJ0e2SjTsvIB49ILDZoIX0
nGTIBUoxbuK2z/3YJqtHQp/JMHkaNRsGWbmliqVl2eGXI9z9Bm/LqBYqLuPqhrPnEcryvjPBPyU5
o4veQ4nymg6kZru8eWl7Y9tQfAacJVyQ9Yuu9vnVYC5V4GZW6aNXVX5CyZkRRm9DSodBoTibfv4U
k275s9VsRsWIfFrErybdfKrLCPe0Sxer2ZVy0y2gL9T03hmV4lIb4LVrbZyOxpKkG71dPgc3DIZq
PMJI22p0WnR1te2MbtMSLwTGOQK+REJpR+Ozh0SYCSzAHlinxTiVkAoXCxviEMHrihH+wHPfuxJr
mOf1DizBZqrS+xxeVE/FWN2qRwrO12zao3VrFTcjL+kgkYnqlLTltsciE7h2fdCs4h0dBic9DkCV
nX4pl/vm157flSt/bQLX+pq2SAMbLIG4ApSln+ttweMIxz6LU8A1kL+Yrb7psMCmuKW4AjqY18WB
o5P9FRIclkAQa75QYhIqVoysAOb4bJahu1EE+6cGAhmlOJz97vzC0XrfL9ONNmqvBswyFXYZPXbY
VqA2bBy4Zok+HYQEnUnxf5VI+BlFJRiUwaFZKrZs+GghnDRcBsoJ7eZ+lgg18s8YFiP3OpR4NTde
sDkzhMU9/EuJYOsljG1x6PmpzE2i9Y+jxLUVNWJ+DsEtkyg3C6YbiPftVLPNayXuTanibxF1YFSV
zEsAKYFzHeKOrnQvCeyySmLjSgmQc2c2GxIp10u4HASO/SRxc26rXGb4c1hbD3YNkC6FTGexy9gg
JzukH/CeQ6/T3XaXS5yd3VeH0urQ7Ip6PUjkXWxn3zsYeDUsvLGDz5rje8/m9Ewa4FhLbJ4NP4+0
prPSJVIvxTTeyusNuqLYNrTVrHqJ4NNh8ZWZ+7IQDy1yLgCw+gwJ7VsUmsiUGNcX8+ADK/i7iSiL
Cumvkci/GvbfMjVHLk/1May6ZxshFEn8TrFtgsrutcIEG6v2J50l5wKqIKiLYb1I0GAtkYOjHt2O
IyhVWIQRRRqthBNmElPIp8d+7SAX4lgYbsMvmCFUQ3DFR7un3uifo+3LO25ypvz3o+2ufyvBgrwN
3X+uRuRX/nG8qYgaNvgy6c7+zUP5x/EGUkLu6omEfnkyfzreXHJjKKGgyh2dFlJpL/pxvDk4Odmj
eCgraGNIJX9vN4LH6s/HG0w8lR+Bk9TEKqzyo/88KCqEc7N2yqvrYbaz5QprpJWeNVOVhKq+yC8O
gWAe6Ll1tuhOGWL3mxnFYtPqBdQD9O5CK06N3r7kc3XIu/IW0cPvFegERhpeuZZ1RVdKtoZ6s42M
MeJky06xKp5AzHx++W8qMv1Qb+3qxoqWgL6XlLsLvX3k6qFtDSsjh53SczWaWOxw2x1L7Z1aceDB
IsoDEY2utlcpcUgOxLx7+JKawuqShzLHblEbqU04WzXoyxrrvZM4xbZx6CnM3cW8N8A6ULReCG4U
nhfF5qlNk+4lFSHY29Eo9GAcxhSw8pAeHQoRUoDpPELAZgO28Dq3ZfdcEkbbNG2kNpsC7ilXMTG9
D3YRc+aXTw5D+LqPxdal1WVLiw93C3pTHdFAlHZzgeZegaBRkcm7nmx+nGyaBc059iggD8cHXQ0f
lXbZ945yOxIeL0exZ+fro9+fJmFRv2zPK7e2122u3yJDvNVKdcwHFrBVP1yhtBCgUeqdG5Mvaz3t
dhyUva3pmzJszm5Uf9cNxnNF7LSkPwi72EVhc8Kbfi706TxU7bs6d7ce1Bw9tR8yb/Rjy9mFlMvZ
MfDUJq/v8nrBF5TQyaFuhdXdtj1LoknsU9t8Khybpx2GNbc75ClKiFsYOp7Q76VGQ2dunw0xbASt
EHApIG12V2HSXdCKX6iU9B2y3rWibUonPi9Vce2SNcPTcC47c9dN+tMiqqsRmilM+TOv5bpOReDF
8TlFKe8M8logpIe+P6RWuq1t9VW30oBSkqva6N+jyk038qWPHALurQbFQtu69kR5atevBk89D3rs
z016bm39pmFz3i/KgxUb+zyVr/AAVS0r9p1G4iBxceE3n5gK1mOZPzlp/AAa6LaPlSCsrZNhugHN
j2c1HanDnbWTMKf3kR9i7ZUaYE7tRFnrAYPOGhzrKXI02tymo5jifdUhlrlz+9k6+u3oTbctYv4q
jEbrxrHabWKL+MxUejVbenHdUi+3h7bcSGxtJQkBI78va2qu0aUoUOUtNdDekeNnIAQvar/uvI85
ms7qBD2jME5wHm6mBgLdVIObyHPHN5rmtU9n3n6GTZ0bO7pmnAPFCGFv5VfCm+IA/NM949bGUAzy
VCZkFh0u1UrLOKiNwnTWStxOa3pMy40ea1eUQd2abcLZz84f4jyvOOPJJa2VbUfpXY37YweXjvBn
56QBbWBXfTpsKRBZW8xCqqBNi3cHr5bMlHlDdwF1Sg+u2R11Y4EeNXfMzMm1GWYno5E8T7Ep7OZc
67ICuSm+1bAMAn1RfJmL99OQwSLp7Rsrd/cUjRrA91BlSsIuq3CZCKOxQK1UbCI6KK4VcI8TcZMB
2K6yLvTquXdMNsM6qqNSLOdBM66Quj5sowHW7eq0KbOnmBKK0sp0vLVL/ZGW4INiEfxThjzI57LG
iySuLA9gzmjyBCgUYvRezcmuNyFOzKRuAgARpwp30Qq2znWWNQ+jDXQljqf7yLZ4v2sJHk2mWje7
DnN+NRifMrZP6YM3FuXaS1gGmZYiTksFbS1Gnv7nWvv7fuT/PPsD+O5/lbiQh+ePcx9Onyxocllo
cBVVf0b46eq/wGVy7qs/cFE/mfW46nJzJeXF/uNP2W/rX2xaiJJZDnBOGeX4O+e+85/XWo+5wiN+
DmMTacSQc8FP19oMsJ5Hl6ZzZqw/RH0zlle90GdgzcVY1zIINdADLIiBFXERTY8VDZOzX3nAg49w
ZV8mo7sr4mb2467M8PIO2waWNkImDwC11DEI5RQke+k7SJwEVdRKNvgSGmrfrDMlLTQP5spLJYpb
KkmexFBp2U1PJ8gdOaSdJyicA569zpWO61KinLMQ5C67e6qFCiV6mdn+XahZS+xLnM/OBSAvarXJ
1c/A/E/iyrdYsZb3tqMYQdh6DCwdbcz9daPAyX4cWLPTKJeJp0z3YgpYsmrHRzWlA1htr0RqHsRg
3QJ9nmHql4/qIvfSuI+ruP4GDbCAQje8Fz3t0C27Y1Mz3uMyhUqsmGd70J/saXocAMSsDbLCyqj4
SkFlcJSwJjBJ6PnuLLBBlnQYgiJ60kPDRWjPXvXIusPpfY07l1uzknzonnNfDOanalL02BX8Uiy3
v3GMDFvFNDY7wZ+/0qM6e50lADATyU5dELkbuasocvceZqceVCVL59KAlzSl+o7V7KocRwqjRAII
CgSKVeABKEl8kGjOeFKnTb4h2nIwav0mlK3FixFTjmXquypDqdddGhq9edL386ixZRnUD5Vwl0vG
b03QJNxkTrctSu8tiqsjA+yR05jybBfLs7F4d06I89tjMzyFygc9z0GuTkTTMMO1WGfol/HrFgdy
UfYkMSAk9hXSNj6BbIUp+5uIvckf5/KZt3TPzWt0drYJ0J23141JTTg4bBblVqoADMJf5rGHwtG4
imLtNqwVRL/coZhraq01jTHdmvcbI031PAC2wYLZH3pewb4bAlwkyXayGCRttcF+UtJ8Nc7XU2M9
aV1/9vrkPu0ZaxO1eyyi+DaWnplaHbZaZCsMP7hYx7i9nZ3wnoKMm6WBMiRwPPgs30nIJclM5WV4
GcJlN+chrMZJ+dY2Skwysc62s8V5vWgeFZJDQd+41W0JY5m+Zs7LgUX6dSqxlJCcxboeSmNdjHlP
oYs4WZn2kecJ23M3Z9JOruy0blekPo9zBcxQ9QAczqhKGh8A39TSt1atBTTF/tprzedRoWmWj/q4
SueCU2YwvhfzQK1gXd0OS80Y7KCmMGI4zrSszJK0UJ8xo4ql3Ckm784wAmzQ5QllpPqyHRzn2RLW
nc4SaD9WuEXyVt+j5Rk+0atTPFKwY5ts2VQI3YFo0usksn1byW6LfDxzx1DYmjlYsOgPTgrvokdl
E9h5320xxrDaa6d51ZT2vdCaca226vdQN6lazL9hTN5j/FUpHMbWFCr6p9kpj10K/booisdC9PpG
94Y7SiM15qjipZrNo6VUs+xUnWMsHY452TdG6tYOshZ4ozlu3rF4QSuwGj7lDNOD1VzZsrd1ocDV
Gpf31tBfGtczdp7seK0957LI1le3j13fbCnIsZFaVvQO45+gJVZ1eqIJPSC3Ws13s1pBzZOtslQf
vdagsPuid9cidkn5D6HwSXOlflrXJfF/9TwOWKJYi32OC9Tj0rKv0pQ221H22pKvhTYlu269AYtF
gXcCHoegw5xPstbRjauGwjonsi937JqJnTGzrqE3t6KkVXd2nX6j4QbNZOMuvZUQDmAyJVYKmCmN
azBkYj9T1FvIxt5Cdvei6kariUaCdd2m32yHhl/CVsvGovQ3Mg3Z/ksPcEUhcBbriR87dh64Lq4i
nofLtkyb1xbAVgkDLJImHNkwjOPYBrYAP3TGk0I5QeEFk+wktqGV3DBM1QE23H1DcXHK5Br0ssu4
gyzvU1mkrqkcng8EkT8y4BNBDArvoHMTXJO9G1BIonIXlyX+FVHw2oiZ2k/ZpayAR15FOrFai6Jl
o0Ax1DQXgcoajxFlzCGlzEqyFCBWwfWH2XLTUtxMaRZ8K8c+LV3DilC2Ow/jfKmH+L7U2dyC1KI9
mOvpaqB3dp0a/Te7KahZwk+xnWR39KxF/RroAs66PL70CYaFkDhOJjuna8qnEZpPYDt8xLLLyPV5
Y6QNTXihgElHdTWRvG9uWbznXQhiwMHYZ8ue65zC68pw500oO7AjmGsrlVpsbcjeqkzBepvcZTA6
1oAi7Q22fPplzfozR8eLChWKqUHfdpuY/JE0MPkiV1/qhFbukXru0BuqgEqo0RdNG64rSrxLF1U7
ndLosYlB4YvwxdbJveh8dB0qwNuif7EMXM1xf66/1smUAQC59Taa7A/3ivwRCBNmCdktrlMyvqi1
6sPwutJqzNJVlR3zlknE5Ey1ZEe5Rln55HY7ZwhPrmwxp9vggPyKpTBTpLPxqaDwfCr1kktXUWC3
NklOtoeGelMrLz4U6k7FRDTThh5SNsqOyu5P3BMBjN5+2zn1pqv5p4LyVDVVT0t0LNIY45mzB6tP
Ait9jxEtuNmQcqKFldIx+a6hmLWjoXXpRIDmyMsjy1tTuhsnWeeKdZmWBxpeaYKl1MBy7pI04v/M
A5yU/ClpJelYlsRqfOy2TG6vTGD7ZKqCRhbKGjTLLrJiFr/mtd24JIvEk2bwh8syWhGmx0zW0xpF
j0ADfwXLNAkzIDNOcZFDjGZw4HmAxi1Zdju7BMay5KGVNbi1LMRVUHdqgvizHmJDsZvbQUGTdki2
YasotjQXLUiO8MM1QViD1CoFiNTvUreGq1tW8hrtfFfIkl56ElhEMHeuXBp8FVnlW5rt3qHbV9Dx
G8uy30i41zNFKhXN4fRO63RyImto08mlJziWhcGKSXUwPqJtilV+NdMqjBXx3aBl2BbRu0vrsKlT
P6yEWD27unmD3wKtURepxUE8tkc+PvfRDOYl6d1HrXbQj7BCdu3G3RkRigYdb2OfUYlt1Del3RZQ
VMj+i01iWpryFI9VBTdaL7v2gGlC4PdPxOiOAakFZb6ZeXVK1UoU3yTnvooWsAC+62X4bzFyTBks
QVVpt4sXURgHoVghLeGXmSKCBMaAWWSDH47VMy1KJLncseG6HmmUqaYPRlveCRjIAevw703aPpkJ
bGxMe/xNkz7A4ryPHfONAN5lSjxUbEdGLZIeU6nDJyTLzGZliVFb4dqbOE5gJ2YqB1vHkcbrJ187
ZvPBYw3hxaem1cxVXpv+1DvnsU+uvcE5acSP8P6nbxotr51nnrRlZrqp6nfOFlSYHLtm6YKnTMxD
P6ifSziW2yUlIj2P7s4chwt+y5ghD72fq8SKuUb49Ch/tKLYGXZMPI3dRNB09sls8ludvmwyuuPa
Kiqx47l78gQ+E/rF1wj23W4Y+USnOt8QDtE6M6m86IgEIBKRya5Rd3SmXU/LXrOG9pf4OqPNO7Xm
lZiMvdWCW/Hc8ax0+EvLur8uLEqO55adszavxZycq0g9W2Rt8nI8m/q1TZG0sjR+2yrRYVSrp0xE
+z5OXnqnf6i9il0LfbAuzay2c4etZM3ce54b/TWptZ1HFWpgFNEeOuKyT4f8lR/wIU7A3TjMgpuY
nugjT4VXs6jGp2IZKSNt0iNW2srvkD/WAKuhwc1QK2ztuR5VjB/ZjaDANatdwD6oU8XsveRWdUqM
+KkQcbL6R8z/EvMNFPT/Q8x/+9bSPF32f4VR4Ct/XOpJJVOMwbDt/F6U9dOumsCyjW/uxz/hq34k
8AC6GXg94DrzXzzYUQl+iPno/F+7ZWJ7ktjP8vtvBB10iaL5s5jvUOkhfzq6n7FP/mp4gH5bdks1
kUajGWttknsIjDFONxIEWzhTj7874xPBzWZ8EWlxrNkrbm0W8DCJ6IsL6X7w/z9757nbRpau61tp
zP8yKgfgzACbUZRERYeW/xRoia6cc139fpZCW4G2uw8FbG6cw8YM0C2pirVqhS+8gUxbufI8cy7Z
RsJ8S2mekYKfwNXfGK46njlNve3MoppbYSQoqO611kjmOm0xFR5aVEZzktMzFB/moed/pvo979ha
F4FjH2NdeUzB9XvUD587PyHQjs6LuJyBljmiWoWiSUjlHIfMHG4aKjNIQMQzMPkVkiyY2MPD3oaW
/qkzpa9RK2271kdWhfN/2ndA4KFl3RUJULhIlgCFtfC9SvqtnZC7oR/wbfB1QYwzBXutrYll4I01
Q/bZT7JL1fTmZsa+YA0oSBdN3aJBumw8IGAr+otX7FZriNzbEUGYIb0wlRwaVhmdpY65QEf3S8LB
56ruLVr9H1v6kNhNfh88geOO1Uu7pBprN2wcrVd9Qg1enQxNTR8y9uNFX8c9aDUkuEqTE5ScZYba
NFVuWw6nWoxgsZw21mTM9BFuFRjAyg2duVQLB1h0xCJgadTwtWXTSOGVAdRv1gOAJ4ejk6IEoAmN
TNLWZREFGIJ18OeIX49HqYS118cTXcrkZdNXKxAaAe0VnKJ0oTnV3MtPpZ5keWu1GpMvYWVI6DIk
Rc7wteO010wwBH2AJJ5hf0dD+6j323O/FhDOpKqtde3WlfO1NMbgLokzALCOEjtoWSnuwqgQ37Hk
oJ9Wo9NMPXVIF7lORT8Z1eCT3dmfyzroOSucrxHGq9CZiXk6PcT9IW8Iogb7o5N2xOgGLGW3WcYE
2YgXKZ+kBtPUhpxn3rtjumy71LtKdArpVqWm55WID2XGUoNc3vtD9pEZAI5Tt7ACK+L+At8O1MWb
LkeKuv1WERqfWDhGQePwtwAUeiIhDK8CRzmT7MytJ3IDwVoiQrKcujkqG7c8Ukszvi7MIj5vMyv9
GKlDTbs2QJtWR+HLrgEamNJkbJCS8JCo7U3MxxpXQuedVtCkzobzrnbcqaRROU+izJkbgdqd1ECw
FwNeBcf1wKHg5tPCR89s0FGcRn+X2kUezjyd01ntdWmFWEX3FQ+wjsiscGeBXae03rPoNtKM6ihu
OtzRChtbbR87yrG252XtjDTXRsQ9KBqWl52muKe+p9lrux3wz7XABccSwDwU/WYUCMtFL9v9rCY+
Wkv2iJkVqlOTyOjH/99cFgVm2NjUW39+Hv1XzGn0lnT38GfPDiPA7eYj9l6zgAD+1VmGDm5Bt0P3
9bW6qEUZGeExwPcAqGSwlj8OI/xj0IqFj2c+qG78I/i9orxE3wngFAYG8NThpQsQnvYKF2/3SA/A
NmvOQ6Amx3bs6Osy7U/sNC6wcyw/m9S2irCOjlIc2cetnyFYfdmwUw4FlVVb6eNLx8/TSR0Nl7Wn
H9MRIxeKqaISkLYTi07vMohbnaKqv/BQa191EL9wFER8sOrwvZ06bZEuEgsEy/Xg5TdUX0jzESGa
WHUfIDyoUutpe2k8NoinfXc62EMAlSXCV8mVjmqp/E4zdJwGkuwuB1QlJr4SOQIi3H7OHds+UQMz
WttamuM5e503SJfP7WSQF7kiRNtLpCys1qFspGHyTV1OnaiiQ1wqzklklfW88JSpUav1wujzM9sA
cdKC/1+0MbUAya3JAfy0Oyq76kypKmdap8VN2Xmn1BDnohavVupa1r2TbqRWWod5g9kf4X5oUzlq
aJalAOoQR5VqGta1993tMvMrsKPWXRSiitfI0gicpyJsLZsrtOqvbSQ6mlVOhF5fBhhLHxkFahmF
bx4VBipA12aNQNLEb1yrnWgWDuWa0rUkvq7xHQWJboWcZbNs0iiajUl6MYTVGSi44zT2zwpZPbFr
aZFV3bGUmLNs9BaoH3FIIqoZ5Hddql4FtXPz/2Iw+xxeYmCV/Kt9Y7qJg+9ZmQYvMJcPf/W0bShC
CgxvWNY+Eg7CrOTHtoHSoWxA1iVYpdX0irWDzCFcGh1rtpeNKfWDgZ2rUHxAMUs4wf2TGFYILb4M
YbEJUhX2NZpmQEJ19qfnfal61LK8aJr+LO00Z952rg+aWAutiAS3ay+pbQ3HYd+m0VyGgXdTZ3r7
CZuiHnaGkxZfno3exVtyz9s9DF6TjKUW26WMMYv5ag/T0yGPHB8XSbVIlTNYb1iPN3Al/Gnf1nhK
tnBcbqw2p9BTJnYNYDMsCYrdsbJ0tPOs9M6p4bdzDZ++bhwrn0ZDspUlBQR3C3FR6Re//sbqmxSA
bwzcyHZUZNvIOV4B2SkX+LzboT7TegNinNmP8acWKJy2qK0hM6g09EjQAFwEammZwmc9kvHMbMtB
mZVtVt+BSq9osiM3OKvqIGsndeJT1AD0AlzSy0L/Imqc44SIr5pZsux8rvziJIo7o58HFXlAUPpt
svz1U705SiBYaTLEMLjiuBDfP/SzZqU1SF6Ht2Z1liKL+jlDQQxd6UhlatAv7y+6vnSuc1eJ//z1
bcVcey7yZCloY2PABp4YQwxVE1/r2W0NjFT0vPLSsxQpojMl8hvwJ6KZ5fq/gaqTAr65E2Q4JPgQ
7ccU+dU8y1NaOwhIZmf0A/RN0WVlvHRre1DpvgA/LRqscjV5sAlUNaNLfjdpXgL5hbkzE0U1VF3T
TRKz17cHlx34XpoEZ1YRGZskbAyooeI7GGNSzc0yyyb0KEJ/CZC5Q+Y6yqxtHTvVqoOrfdqbWglr
rQvpiIVWmlDEylW048DsbHN0cGecNOhFg+LQyyMDxb3moWrxU1KF8Lt+NXxELWwbZATYMFk6e9rz
FyWbjZEahiut6ZYkm6CscZ9XpAhG10QbhtQ7plISffNsJz/FSsNfmJneB1NVaa3vtTWOFF58DzAs
FJctQjXWXWvkvnX868mEQ+zrb6npEOaA7jnsraxOlBaff0uztAMZmI+2hk6Tu6BT4b9SI6tpnizq
tmmmZV/Il20yGEQaePRMSyVdIpeTL2M9B9kcF8lVHhsJsn1x530hgc/wVsIAN+eg/mRW8LjcInWn
TRaGAXVPLeygblfpWZdLFa1vKEGeh7wHBS4X4LXa+phqmDUluNC78IZUA6kK7PesdouPtUpOCdtO
ZSCDQWVv0GFTgMKxw9PYN+wbV270Yx9vKarjfetMO9mnYMvqClYS+S7CXQO2PkoHVG4M+9u8Kupr
Qg76r11SWwu3KoR5pqp+LHyli5auJQFmGf3I/YbzIIDkgLL81yaxAAbllbqKsjRfKYUT3wVtTqc4
15LoOnDcHo3ZQvdAF8OoBGpOKKarOEB3yJLrXVksFKVX6PVD2/SmQAbtYtqqvjtPKq2cNbmDUygE
TqS1sLvmqIEakspgBm38PP/sE9k/UTGuuTa02lg2Djj/RWUm48amVDCv5D4cF22EZoLU9/JGreLu
e+XluTEdVfSLJqmnth75PYU9res6nDXbxl4gHIZET60lRym/CnZfB8dutklrTcIqDBGecEGs4wAm
mqx17E5p3afJsjSjuac3gyySM52+JLL11EX1ol5odedU0P6s/hQI5xi7l2R4NW2PIQBnVN75rq+q
403VSb1FecUp2cqzW3WAegr+r6mbJpfP6qhGSeLYCXAbbSnxuKukDNCxDCkmXMvgKFbhoGkN2Gkn
dgnRZTSqRz+x7VnqupyHNXCKYo5BIiY1JVgkPFgLOMDZUTRYHWi6nm78qVnVGjMKXR6F/knDWbgw
JT90z1uWjik833NMnRUtgpSZxkFJwaHg8HLnfUsHBetH2CBYlMswNTME7pMp8u6duwCjHSfzijp0
tDBSZGan9miwY6ZqRDEn8Uvq8W1FceuioomVzDPs1b9LTWsF8kzOVGR3dbuxzwzJ9dzjVLNq3OSn
aV8V43BUyexu/jyn0ZfM3aodi4VTVtSzhthMhiO5qgCUG+oQo87XG0O8LIMikKa8VvWLlCc46lAV
xKOK/8nSObp4QFoaRCO+4A7tJCutdGrwFhABr8am1rRFKGWqcuJ3PppxE8tX/Xrplm2eXnMYa8ch
usLRosn5BnO0Rr0RuHs/ItMbDnm3xquHqS2xVMqZqyjNcakZ+Id7ruY1OGK3vM7AqohP0jHUxm0c
ATGmbVHHyQyFVb9YKXKgH3kBzaspgsCFNguywJ2NjYsrptSVOWg9F3gMIlUFeJckD0fqgm6sL5Tc
9UirfIfWmTL4Y7byA6AOqGjpWF+J35vQ6nNSpo+nFZTrAoSVSMKkr1TocI+YBKwj9UzBsxwEod3q
kvZxiDu1OTNzZwCNhPDD2mhSjiSvsiL+wEk0RssNfCW9ofyT+sfFkMTkTB0VpxOl9uqPFIyMjdG7
IPVtPLNRsEp7S5tX5hjw5RsFl89YK6JqagNiDNA+vom7jsgi9ML2ujLM7lte+tpRa3WeO4fpItPI
sl2uY8RZiGld2SpnY59r+mVVG8pHpUa/fkJtsrKnSCwhGNXSTQ6Oyl5Vu1WKkr16HkiW8zmVCzE5
w7ColtgG+9VFP+j0++Wi4934HdLws6xi04X/mTqf4cwzu/HtjEp6zw5CzxTWXBXKaRNFV3TbQHb2
OgDbdd3XIvj0h/7CgLPUz7Mu4dZZJrwsehXEEkbClnh48dUpjonvlSfKmW6kPEVTGAwVzYgIkdio
ZenksRcFl4CDWPJlQ1Tg8TP2VLVO/fMCPEqZolfly7zuruybdSL5OcRRuSl6KkRo/syHtlDFpsFi
mvJEbCA96rbEyXWafHZVzTm22wAQre0bEfNi8MxNl9IEmvQlzoda3cvVCYx6NTzJ8jQKr21Oi2WV
yspZ4XjFDSqgpmDm+oF6jI2Pg8OFn3ntbCitoiPAxSk9VxnWKQ4Vw20UR8ZF3yAge1TIQwvuzEwg
JuP2lXwfRkfsIQEE7Rl5gK3NAxUwyCI3E+cLBYBkgRwtKCsLGvN8KDv/Ksjq6sRJIjqOhlqqUIZi
A45I66vO5zKEik9DT8DCRsnFbQ28jFJsEzbk4ZiSCWuDBhVzJIQpX+C1AOaCQ6YrTpDjgFcGD6du
OWm1Fumhsgi/Qrh3PkoDYfrx6NSlcldXiJACv0dVZhV0qtAnS/DNBgUHsX2FZYMPzTES5emsbes1
IpjxdQjkY2Jb1ZGe9PDLx87k5UQy+gB4KEZZtk7NXj+ValnP5n6RJiAfhi73p7ZRJf5HIpHqTnZS
thG2zqqdRHTBKwRSWhtcH7WH69grlOBPPL80G/MUIrDhE+gLyeFilVvOfUuKvGPJzbtvvidLLXX4
CkJPAJEPCTQJglDZFNDbgrFhkgZACLSLPopBDCYmUpeTgpYYCpmKrwObILqp5p2f89Y6Ow2oq4yo
CdDirWLY6FpfgmOG/rMc7YLZH+m9Z80Gd5CrqZtXZvGlMwblY+gD4mA5BFDsYg+fihRcNhusmjvg
xfHzRiaquVGpCdvKJIpa65OhpkU36wyv1te6G9vtVeFCyudwZ0bP80DjbZI4DHhianWUnVpl7msX
ai/HJlp9mPVNgr6XvHVU4nU5QySWPYNorKnXsZB4BaYfURsB+ePPul6WV0Ohs+4HNAdBD7q+tb6P
St+bmLoObsusyr7X/0dc+TajRRp4fn3frPrxb8ttdkbhsnr9Sy/+pvrP/Y+9bTbb1JsX/0KfN6iH
y2ZbDlfbCpzmUzNM/Obf/eGj9evHId/++1+bO4QcCYbqMritRSPv/g4/bGGFEPnPy7DrbXqX3e4U
Vxd/+FRRQXwTx3pAazTkqHdSAHleUZHvTVxRIkEcDcOmp67gvWmsKlPQ0Uw456L196wraNEPFKxW
hfrs0yA81isYv58mRob5MueAPCsbmkpWSe3GcDCCe5VzWHHt2YnqSeeKBJexDpBa0Met2+GPFBkg
dBtNXhhKuCgHL4mB0eTllVMm0qVqCc4mYWhq0Qx0EmgOHKGzplLKL64dWMMtdYwaIKybYAyAXGyI
ri/anvbIAY30XqU7+pKSEe7xZQfSiX7OnDKJgxiB+meaR/KtV8TJtFD7fJH5VjzrYGtMWq81aYLw
u5pV6BM0zMuvuRCMVD3Ux0a/NY671DoOQ5xYO61cobKMiVEjLRsVQG6PjU9LFj2JHZwzY7Wd29Kw
HjzqNIllzNFFaM/sFBmJpAy9uSPbGqgTWABg8TF2RWdqwhFCwoiHo+2p40R1y3w+oreo1n11QSIF
PWCo4xtUxoZrRfkS6NSi6aieBYXnz0j7LsOx5kBUlfUgh6BNOrpWQX5bBYBWbPqShPO44bQGFCK7
H5e0+YLjFFOFCRIX/SoaKnleGYUWTchmuondy3jB5LY64bVI53RooXRggwPyFN8pwBeFIOxGbdZf
jnZoLaHGRJd9K59nue8fOREcXqhP/BE5QbCQJLZoEpEUB9IwhGJZusIBQrWEiWev27PKtoSKhO+P
KCOnuXsNbjtf4n+EVjATO10R77TLpMqCY9eU7DUq6sgn06xC94I/TtdK0biX6L7fkB8CTEnNjVcm
xqTD9gKgs3MTEZTN3Tr/LjtE7lCMT9GexNM2HM5jOcogcCTf/dGYFZpXnw+JjqAXwgZTvbQjgEsE
NlJrrsq2sI5VgyZkGw7XfjjwmpJkqfv8n1PaU6U3GnuiD52KommTd3yBWm1c9tW2U/U1ib10PCDe
osCI0FDsqdDCKOUBvxO64ho0LKzK8zCuT8vCkWcNE41GHqasJTXzE1PP0AvJsmVWUgUJ7bFZaj5i
HK01q1GPxQQRLH3XAxaKW09ZGLprg1xPFlLi3MFsRfo7ucya5pNLQ7bKLbUB7JafAfUeVqpZ4rqU
jUeS0Ql5LCP+KIcuYae9raX+JIitk0C3TgefliAkI/inA/3qkVzEhhuVnhpJ8nVspRPUJU4THyRa
0BjuOrXzasbZSejre9fEhR5uzfEK9dGjqOAlQQw7zoWkjxRa7kSN7I3XgCuszeC8byn99SkFf6lu
E2qZoO7MeIWABegXwBQozXVZpEwz+ztHE1tLsuAAXuDwOZXbCj0HVb7K4dn4ebiyWh3jVcSOFITg
/NqgBtDHn+xYPlf15hPODTaT1MnMc9eBJOPa4/e8UK7QUFoJGhgU+7lJkWQq+z04XWpMbbvxTW1p
lu0c4T5yVMO+qKL0ys7UO4d8HPC7IIMPV7oE6omWNequ40KKoInxjilvARRSaMBC3mmBGk44eG/H
YfhIsRkJxihclY1/AY7iPME12QqFyG52ZCXZlI0U7WJDvgT+CupnmALxXKWusBijMTJKS+xkjywT
GHWOD3PVLyRCAXai4NbEuyGGiiehtB35Fv4H2Xmay/hAydlSqWGyhY13ocLeD1rviO7qLMmk0xbK
FZnlpsC3Yoj6KSnOd1VXp26pzBDXmro1yoPxNnObKxBczEhsrMBhBR0I+cKaVfSdYJJwspZTai3n
YE5JI82F3hKyev2V3jtCdU6dgemqJmDXloleTh1izwkx8YT68sJ2CI2L4IwdbjFg3EtkMjNt2Ohe
5a80ZTjCYvJPWanBJtrXppn/SUfpyms55JM7iufbQsbhNO6VCSXGRWDmC5jZs8jTRQcLF2D/kuR6
nbXaleom3xUJUH+J+RYFkFyWjySnPbIraSH7hK6AnsiyPpV8UwtTWBrV+dyV2pNKbhYsxbPKsRfg
IY81d+CG+NHlDFifIjxbuOkEuMwtLJM/uZQO90CbDRXNc1YSABIC5SHtNlVaQTmXTqCPrEYEDDKk
DidtGS18zHImfo40Jx1E2vWmtVRr8FtN+rUuqIXk1ooGwjz34aVndXmU2rDA+ySbjIazVMIWRR/5
S1aGV5mkLF29BzTZMHbO3EvrI6s2mJ3WsjXayzSLT3I0mFqpuY4D68ju3XNXGAHoyXHrKmsknu1J
2mDNGwMxdmXQqCTXnX0Zls6ppvQ3uRmT+sjNVHXsT26JYGBZnaeVcYWKu0wSXF03cPfbPEuJlilQ
GfFpbHjHsV1g8xh761JsVGP25xDVFL5AVxD7N3VH0bmbVp3oPqcnMNs+lflwrKjZiaQCuAOC6X7z
qDVdV6AMRe3ruJQhMHToncLNkKTwzvfMT2GdWCu1Q9oMxb8bUJYTFTgOilFgzZU7M0H8qC7+jEp/
Bf3pnP02mMtltFS66oSMnnUJpnY6ysqNb1T5wtGijwliF5Oij5aRplyEEaTOyMlBAXXaAs3zI5cq
RqdKCekEambU7S2vA107qMKeAIOG9KL3zGXo9sd4393lUo6Wd7ipSwP4PgzGxK0osLXWHGHXeelL
KaaUNfQ/CkoxhwRE+6NWsu/aFtXMQF56rbXAr3qeZohAJVXYw9EZF32Sngy1d1LWxscMlalJCewn
JQmrgwh6ZCcdpyq8XzlmnUIgUjIkxOv1KHU3VZnfNnY590Jav27cr8nHEVeWOf6ehbSPMeMfaZNc
ZBhIVf/+18va+UOEiPYuAr2aRW/vtfJR3ZVl2QSpdC4nR0EY4WZ4JWHK+OubvGzgPN3EVBR6eoS2
qvmy9E3VDSKqrkjnvf2t7JZdc9Nn3z1tlrT+b+60K+DVlB93etWzydxsUEaXO6n2ma8PaEegYTuu
MvNz2HwNMvOBAfnzCPtFTf/xwVhNBq1K6ACvH0y1M+RJ4sy7aKWvdXNSeLdpfPvrsdv1RETLBMvC
vIkGzcuxc02rl50h9y9afRp2SxAS8xjgZ+ItAxQr1Po3LtU75gM9XpIWjSkhum0vb9dCA1EHuQ4u
gtSbBFqBeMoyj37zTC+7lPfD9uIm4ufPOmsVqATDdLlJWJbIpZ+Gjj/79aj97jHEz5/dAaHeGpdM
7lDmaxjP0yj7iA79b24i+ko/GoRvH+PVq8kjoVCXVMFFL+FNYsC4vdADKiLWjYGsfXWuNtVv7rjr
scCdYR2MmgDeW+S0zx8rCvCbSkMluLCKy0L2qNCtLPf7Px86uKv0kWl60ut/NXQuVA0TUZjwAo0b
KNRUjrNpF3/69U12DR3+iA6II0VD0ubVTTK4XVYQ9CHv5yY10YQg92AzcNzrsDnRgcR37uWv7yjm
1OuX9fyOr16Wj+demStDeCH3Eu2AL+hH/WYzeNOHRMlDsbAlwmgIaBbCYy/fTpXpfuT3SnIRnpar
esXhuc6mxty49K+MaToPFvZUWvz6qXZNiOdP9eqWPjJOfQ13/qI1kVKEfavS4FOzo1/fZffYITki
c3Iij/fqbZmjYlp1IocXbgEhXjmx7fo3YydG//Xb0WnhAkjBqsR6PbHp8QXKUEnhBUYCk8FWiTa/
BjrcijD8zbPsGrHnd3q1wZER48JjmeGFYmx9+9Jwr4vxN9vb7lsg20Ivn5VkvZpqgRK1tj560UWa
nhuARHuB/WrM3xx1u5YQk+2vu7x69VHZ+jXix9FFEN3GcJg0aV7q+EtQ0q0vpGgZG795R28eC4F/
4OVo6XIUKWjqvpzequNaWDVl8UXdLovya2eiVnL1Dyfaq1tQS3u+v6Wtx4D6RXwBq5QWvgfr0PjN
sL2Zy/e30GxWDQEPdbaXtwj7HqkFMq2LKr6VxpXZPZIofhoTvJnK3MAG6M86ofD2BoXP1ml1Sjom
F8R5SWNM/XAV4JaSOtv7sXrv2u3/vqqsgIr+vCp7FbRbyMt3jNbrcq74w6eqLDg3HSMipI1k9uLn
6FjF+gBCSgWy5oDFRVXhr6KspqO7xJIFhCMEljQBjnuiamDoy6tEz8Fkf7+v174qxP6qMHt/vP3Y
7kDcEMjBJGG3M03BC3m1Cfkq+r5to6nrMiuK3DqVgFdTj3Ow1U3we9fDCC6WqkWI+bkKyM6uQRxp
GBRrgji0cU7tJD5vMpxiADpIK4P+3bqJpGHWqVV6ghB7cj1oaXfe9Hp+mgZ1dktDtDtWky661pWu
PAHrQje27q2tq9LzzXRE9pSwpDRjUcj96ssguyi4wc0ruxwptXgZqUo3G+PU+Na2pvJd0oLxSq3M
oCErhpqLfTikN9uBk2XiJq6GKppyYTINfCu6SJLG/agS5F019+aacgiYrFrGlrDdHHMfdd3ywY8T
MWsPd069gb6BrD4YRZw7h3sbT8oR7WVZoh6MW7tw+nRHYfpJ0SFEe4mO9CcpHKGsFG2ERWhPY7Cc
dKWwDjVaDpMIZ+KVLpxFsRJSZxYIfJHG2nVezJTUgHvflo5x0kLW3bhhgEMR7LkcBSME3SZS0Zrw
wINU00ACV+Fq8AHFg2PVr0alQoZAbQ18A6zwtg5j/zg3SdvXBjXxlV3YQXs1hrayGEoDpuTUZ2LS
q3doBUrL/y07wuOmtbNR89fCED+9T0M/Zm+6OX/rl55W3O4L/aPOjwhhXuwx91/svvf0y+vEG3pU
zR29Jc1mGwFrBmT2X3/EWeo9/neJKOYDP7AU0tDn72/3t37b6frZEL3n07Pf7Pn0EAlsEedSZ7z/
8KgvB0EI36kiJ36417MZ8n/3gH9noH756l6fFsbrY+YfTwGaeESqSPKQjN1/CMFeDgJepcwPgIkH
OxMIf/abCQwC4TJaR0S7D5+3g8CBibg3mtfic6hDIWCj+w0FssSKJoTMn4aCWs7L+aB8gHJD6OwQ
dHCvw1sUQqhqz0GwCbzutSmBf4sP6//lICDrTNqiCw2rAx2Eh7fzEPH/tW3/w8NBvGfYuPTxxefN
9ogPitCTJjg91EHY+4TE0MXSFCSzKST9bGcwNdIkMJSHOggPU3SfmYDNnSkLo2jk/sXnzXKQgY9A
njFFPZHPwW6PD+9oj6HgpEDWDtNsUu/7D9XL1zsD5AN4RKKOfpjb497HJTkmdEj4TYCVdy4Kxflg
UpZANu4xqDjQoZDfY2lADFUJjh5mvrxjPuAVxTgIGthBzgfBCdrzuCSQJoCkUPEQHb3dH3DQhNYC
+few9wdt//kANZHXDbj28dB8vVVSuSHloK7+EKkdXvSk7R84WHheCOgfvO6d2wNoQ2YKp6qQ7DzM
NbH3QaEJZ3LiJ5UK3O5BQDpdSJORVBzoIIhlvOfGYH9ACJVcgpL77tNS/iCaTORWhzoICvnPnoNg
fmAMcGWyHo+IN3E01sMmMtq0kw90JogGw56D4HwAJYwfAKCg+8+bMgOKwrqN+Jd2sOfk/rk18hRU
Ri2e8SeDoH4QUGsKcocaQRvvcUKKVAE6MuIa4vO6wEDwqDqILyLadJDLYYfyyT+uumnWB3o65ExP
aeWb5cBMQF6bHs9BjoEhv1Ej++djYJNKmRibcgDcf96MASekI/7RHtLOQ10T6v5HhIaBGKUW2xST
i8+bNcF8MTQZ8/eDHYT9Nwb7Aw1nodDxMAYCevIitRYbg0pMCeTmQBeFvP85SUeG44F08mczwaEx
g7EOVYgDHQR1/3PS/sBbFgvisTHzOokSIoaAPRUZe6H7z4EOhRBj2TNuop1vqKpQu3l40jc7A6uG
Nj+tuocQ+2D3h72TCUqxNOqIEAE23H9IGV7sD5hSUINg4QiKGMN+eLm1uv98YA80VYvw6TGZ2LU0
sAxnFA41o3pDWPznkQM9KrE9Im3zkFYy6V/OBO0DQjSmpokz5CBngmi477kz3Auvwr38WRxNlQWb
NRtZkMOMo5nA+wdOpmjPAObEbfnh82omEDPgv8o/Auh6kDPhMenfoydBMoG4FAVYkGD3n9dnBDMB
92BRrz/UmaA/pDn7DAJVFnDLADsfT4cdgwDyl7rk4W6M+w+C9UHDYUlIav5kJshUIED0AvG+3zkP
NVow9h8K8wMleAHX+Am4577MIDwjjUONFpT9UyoGgdornZefFKEZBJOfAfY42INy/2yC7jUqBRCC
3gSMnJCgwPFWP9Qqi/Ie6wBzVAYAmN/D5/UJKWr0QHhZCgd6Qj7WPPY5HHCyo5bG/s+SehkpAn/D
nxZBtodt4lA3RCEyume8CGTJUWH5kTbff15nDooBysMglGKgxOdQh0K02PccCnYEGnOgGn9SZKG+
YBiA/dgXD3RNKHtXmgTwE5IArPE32yI9bCQ0kaR6jCIOdAyMhwx3n31BJJIKU56a4v2HqfVye2Ai
oMtpg/g50EF4bJftMwj3WEbLYHN49fRgFSDP2oAZHsOHAx0DQX/Zb0cQMD+UzSzIew+HJOHQy4mg
U1GAXo7i9IEOwiPebJ+JQCkRO3ZBLHxYDa9PCPJItgS2TftQB+Gx8rfPIBjCd0AcDQ+noDgGX8wE
QmYMb6gxPhbzDq/KqD8EcvsMAvQyHYIX7Oyf7ouyLOrOwgnoIMsqjx30/QZB1NUJDX+WTOOXRP5I
rfVga0v7VxmZ7USMtNx+NhOghygGaveCIfw/PxOeEyp3WA38nVIz6/0HQQq0HjsBTgI/ryKYCoZZ
hBFP2dX//CCwO78mCsn7dx7wAFMdIfT3mEeSmL/YGGm/gOigaQdWXHwONXR+Q839O5NCBIY/ZoUG
cQxVQnjxD583ZwR1OCBvVFUOtVMtTBX2C5moOguKODKPj6DfN4MA5AsbHltl87j/HML+sGNpoE+5
71CYgo0teDKPacSbwAnOFGwhUztcOM/+MYNBcIisMCi+3YuC/QGKnUxSfaiLQtk/j6C+DnQD65LH
neHNTGAQ+DEeGf+g4Po3Qsy/uMc4pcZ399TkYFs906H97S88UXPfXuDZYXJ/pL74TSFS+3DthyNH
/Pt/XmrW3jfin/30qTF/f6fHv398xLc3f3Gzp+d6+o9HwbbclLf+cP+D4fGLCgHff//r1wZk9yK6
uwV2/9oWf331PEi3O85Z9tUfj/pWvffvXTzZ3GXl04V+SP2KI3XviyPNX+/64n/tjHuMCuZNG5Qt
NtXT93z23VkJe393zDeaavN0oWcXp6z7DhdHRHLzB7YL9a5bcErsfYvZNv7jLCt3jj97z97Xn8d/
zLKSyfN0rWdDxH6z9/UX5bZKd12c02Pviy/jbZo+XefZF+e02PvaR03yLYvv6qdL/bi8KKTufflV
km/LYBM/XerZ5d9jya4wkNhx6fdYsSfbcseYizLK3oNygrrejo1AdDX3vvbpJtqxhwmMxztcuqq2
u8bkPRboaVb98V+pt423u0bmPZboenPHBvw0Ds8m4nss0fWmDHYNzXssUXHtPNu1u4tcZe/X+jsh
/H0DgvW2vN3ePX3RH+Mu6sX7f/kMEf+n6zy79nss03W2a0cX/nTv8LXTeltuh6dLPfvm77FSzzb5
joku6uB7f/Ozbbt5a16LPc57LNHzcsMW8PQtnw3KeyzRi3hzu90RO4qka+9huYibZFdwJ/hhe1/8
d6Jo+67Q680tou58zR1nqWCz7P0A15v0j8lWSJE9XezHu9XeY6k+3KBMN+XdTkcPQV9+l6eYBVtv
10O8x6oVD7FgBdwG1e2ue7zH8hX3OM7QlN91Wgm++7uM0mkTVH+cfwuqfNdzvMdiFs+x3tTbXdd/
j/XM9evNH5NN+W2zK2YQ6pjvMVLcYxrvvsN7hMcPTzEtm/Hp6/5YdwJYuv8j+JudOaH+LouaGsbO
wX+XxRxUkfCsfhqEZwPzLms5ize7ogfB5t5/1AlMkh0HvJB32v/i9SYNqnjTVE8XezY077J0RZll
xzksFLr2/vYft/5m19AI5fv9L06Mj4fV05V+jIsQm9v/6g07wY7gR0Aw3+HiFIiSXXU5AfLd+/Kf
uUKza60KVvTeV7/J4h37vBB53P/SzbcdC0ngp35z6V1l2b+IVW+LtU/6hrv+7GUtWvzGbbzdlP/5
bwAAAP//</cx:binary>
              </cx:geoCache>
            </cx:geography>
          </cx:layoutPr>
          <cx:valueColors>
            <cx:minColor>
              <a:schemeClr val="accent5">
                <a:lumMod val="20000"/>
                <a:lumOff val="80000"/>
              </a:schemeClr>
            </cx:minColor>
            <cx:maxColor>
              <a:schemeClr val="accent5">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accent1">
                <a:lumMod val="20000"/>
                <a:lumOff val="80000"/>
              </a:schemeClr>
            </a:solidFill>
            <a:ln>
              <a:solidFill>
                <a:schemeClr val="bg1"/>
              </a:solidFill>
            </a:ln>
          </cx:spPr>
        </cx:plotSurface>
        <cx:series layoutId="regionMap" uniqueId="{828BA786-44DF-944A-A44C-51857E6F8128}">
          <cx:tx>
            <cx:txData>
              <cx:f>_xlchart.v5.2</cx:f>
              <cx:v>Sum of Amount</cx:v>
            </cx:txData>
          </cx:tx>
          <cx:spPr>
            <a:ln>
              <a:solidFill>
                <a:schemeClr val="tx1"/>
              </a:solidFill>
            </a:ln>
          </cx:spPr>
          <cx:dataId val="0"/>
          <cx:layoutPr>
            <cx:geography cultureLanguage="en-GB" cultureRegion="NG" attribution="Powered by Bing">
              <cx:geoCache provider="{E9337A44-BEBE-4D9F-B70C-5C5E7DAFC167}">
                <cx:binary>7H1pb9tI8vdXCfJ66WGz78XMAtOkDsu2fOd6Qyi2wpvN+/r0T8l2MpLseGVAxoMV/kqAxKJVKnb/
WHdV/3nX/fsuXi6KD10Sp+W/77q/PvpVlf37jz/KO3+ZLMqjJLgrdKl/VEd3OvlD//gR3C3/uC8W
bZB6f1gmIn/c+YuiWnYf//MnUPOW+lTfLapAp5f1suivlmUdV+Ur11689GFxnwSpE5RVEdxV6K+P
9iIOfugiDRYfN69Zf338qmP9wdZ1WvUfPyzTKqj6mz5b/vVxg4j18cMf29/1jK8PMbBe1ffwYSyO
GOdEEpN+/BDr1Ht630AWOoILHCGGfn7ffJHAR9YY+deHfzj+14fbNKiW9x+uq0W1LH9+5kUeHzhc
3N8Xy7KEG334d3fCGzcMi/b3f1msu9WirTbJg/366+MWm0GpH1a16G29WpHb64cl/GNzm//z59Yb
sKhb76whYXsH/tulzc3+L0D4BJtfF4t3wAI5soQpsIm5fHiJLUggeWRJjExmwpVHCD5CYpOl/aLi
DbR3AMYmtY8fDgwbN0UAD2G/f2wQ84hji1NO2SM2+BY2LOtoJUQQ3hYXmyztFxtvoL0DNjapHR42
lv4ieQexAdBAnDGTWugRGvI5NCxMEGHIMlevLX1ys87XnvGxM+ld4LFO7ODQAVo7Dcp4UZf7Fx6Y
HzFickwZfgCACVbKtq1hmhbBmG8plmdc7RcfbyO/A0aeETw4nNzU8aJYvgNG2BHG5kpCyEeMgJTY
wMiD8SGEQBRvGh8bHO0XH7uT3gEbG8QODhfXOl6k7+OgWBQRwfmT7NjGBRgeJpGCmoRt4mKDo/3i
YnfSO+Big9jh4WKRVmB0gNB4B9MDFAvGhEtsipc9FnBiVyKDUALu7brHcv2MrT0j5G30d4HJM4qH
iJUPp3VQfjj/HpTZewgTCh6uxZAk4mUlY5lHYMmaCFlgxG7h5QXW9o6Zt37Hbrh5gerhYaeuqmXx
DnaJPELYsiyIh/1WxLCVhiJyW/+sc7RnpOxMeheArBM7PFws0g8zvcjrIH0HcPAjCSERYpFHz9YE
03TDaAX9Y0kLsCHpg8DZcn1BC20xt2ecvI3+LmB5RvHgEHO6iN7Dv5FgpmLETTBWHl7PfGAIoCGK
mOBbcmSNn/2iY1fCO8BijdTB4WH1kI6LRXoXlHf6p1XwYlrjjakXfsTBDOFgoP42bgZyBVGBXzBG
fnH0JNX2C42Ne97lG3bAyEs0DxIsTrD03sN4tY44Am0jrWd5GX6EGBZIYPqIpJ8ofczOrBZ+naf9
Q2Vn6jvCZJ3e4UFEp/o94vCQyiVYMskt/qhhnhkjDwBihAiyBZB1jvaMjp1J7wKNdWIHh4uzBSTv
3sdG5QTkhol/48BYRxQjwbjcCr6vM7RfVOxMeQdQrNM6OEysRLdaFumiuA/eJbpKjhBk/EFzPFml
2zIDcXBgiCn5CybIM8b2C5IX7/3Vr9gBLS8SPTjYfK2/v0e0FUIhBFGK5JOCeebCoCMK7osgbCtF
s8bPqxv4GHF70bb+TcnQPzf6KuEdkLHG48Hh4RH1UBnyHmYpOxIUAmDWT+PzWfofHRHTMhkUAGyZ
HQ/CbY2rV7fwzdh4dtOvkt8BIc8IHhxOLuLF3bsEUcWRABUCabyn5O62moE4mckhPGJav1zh9ej7
Bl+vbuObUbI76R0QskHs4NAxXzaL+/fRKxazOBQePgZJX4qimpCzoc9C7Bsc7RcXu5PeARcbxA4O
F1ADvGiWxeI9KofEEZIMki/8dyYHJOyEKaG+bEu5bDO1X3S8ifoOANmmd3AYuQoAIWVw/x6RdXwk
hUkxhsTtw2u7QgR8GAz4sdC2E7PN1H4x8ibqO2Bkm97BYWTlyWe6fA8Nw48g6AXly+IpT/cMIvJI
MsIFhM5eiqBucbZfnLyF+A4w2SJ3eCjRKST6l+9Q444Z9MJANww2fxdARUeMMvBuGXi+6/bp2SZP
e8bHG4jvgo9NcoeIj/fwcsWRRSkX7Geubrv/YVWeakEmDwTIM2z85GfvuNiJ8G6Y+Enq4PAAXjsU
IKpF8f19ShDJESRpV9Hz33Q/ADCYFND/gJ86Zzbh8RJ7+8XJm79hB8C8RPN/Ajmv93tt3PmqDe/v
n5v1QkzyrZ2WEEmnhDHAyW/MVAAKguQdxFhfskHARXjqDd290/KxW/VZo+UrpDZW4HEBXl+y/7n2
ybNlcQddqg89n/0r2wsq/m2dtOBlmEyyXypiO0sPtaVEQOwccfLTTdmwIdb52q8E2LjlV0m/sP0b
b0Ef8gax/4lnfuMO/ktz7XVQRkGv6/3jg0A/NYZiHos95WGfxcmtIwYtUtTczp5s8fTqBr45/vkW
4hsL+XLj9Ra5g8PH2eIeIl37Rwf4HhDnwhR81Je1A0gPAAZ4sWjbvlznaL/Y2LjZV0nvgIwNYgeH
i+vFXQHTEdJ3ybCJI8qZhM1/Ck5s+x6QPYEJDvAHv6hZnvH26la+XYJs3/qr5HdAyjN+Dw4tZ/pe
3+1fiICKIdKUVKInVwNi4pvl6OYRFKtDHgVtJejXGXp1+96Mjp0p7wCMdVqHh4llCqB4nyqfVeEG
+BSco98oF3xkmZxhLEG0PG7xY+no2RZTe8bGW6jvgo8tegeHkdNFWS7foUYQRjhAYQ9k55/C488z
sJBmg8sE4hybANngaL/o2J30DtDYIHZ4uNDlh79Tbxkv3yMHS45gtoeFBXmqLt92bBHERmF2A8yK
eoybbzU5nT5jbs84eRv9XcDyjOLBIQYCeB/OYE7XP2HfVzT7mwMh4KZw6Mp+wsszc9VahcpBI5Et
pGwztV+cvIn6DijZpndwGDlOsmURLOL9G6oYOhGgjYWuKr4eXtv1YIgeQSQESk35Y1J/CyhbnO0X
J28hvgNMtsgdHEpOYETie2gdmAcDVT/QO/skRbbDZau8ClyDvuwtk2Sdof0iY2fKO8BindbBYeLv
ZHGv36MZXxyBmcFMa9XBtO3ZAlhgOuHT+KAtgbHB0H5BsTvpHVCxQezgYHECnSzvoEwolHdB5AuS
ay97tyApTCQg5mFtS4p/+NkvJtZu9FXCOyBijdTB4eE47d/D/oSGBNOiENBYxTxWry1ZAf4KZFgZ
g8brTWd2jZ9Xt+0VU/nlNpVdCe+AhzVSB4eHaZ181/F9tX8ZsRpfKqADhVjPQqLQAccQDJCynip7
NiGxxdJ+YfEW4jtAY4vcwcHjIq5hVvf+wYGh+BMzTi38VHjxzGE1YbatgLg63poitsHRfrGxO+kd
kLFB7OBw8XcMmbd3aUzhoEkISIafKftnwIBIBrgofLsedJOj/QLjDbR3QMYmtYODxjnMbfHep+fg
oZ1NsCcb41lMFKBDwRlh29OONzjaLzJ2J70DMDaIHRwunGX8Ya7hQIf9a5NVnQ+F8KcFLsfD65nQ
gDH7MAoKhMZWFfk2U/tFx5uo7wCQbXoHhxFbx/W7NKNApfiqY42hp1KfZ230MNEWhjIw6HjcNEY3
ONovOnYnvQM0NogdHC7mi+w9CsAgiQajewjEM18OicOcY3BRIMwhtsTGGj/7xcSuhHdAxBqpg8MD
5IFWE46Leti/MlmVBXI4OsH8WdGzbWespl9D2wlMTd/qf33G1X6x8TbyOyDkGcHDw4m/KFdA2fcR
ThDboBya0gT+XY+0dQTD4UwBpceb+uR6naM942Nn0rtgY53YweFiDKdgvctsJ7YqOIcsKvp9ZxIX
FP6gLTtjg6P94mJ30jvgYoPYweHChkbNh1Lzd5EaMC1wlRSRcObKo5vygmZBUHJMOdqKkr/A134x
8tYv2AEpL5A8OLxcB8viXVoTJNRimBjCYI/V5S8VB8JF6IGEQzhWr63c6wZf+0XK7qR3wMgGsYND
xyRepu+RfAVwWHDsm3yeWLEgyyYQnPq05a+sc7JfOOxMeQc0rNM6ODDc1BDbSNJ3iH7BiSxSwMRI
GHn/6MaCMNgu1ABRgpCwtloQtnjaLzLeQnwHcGyROzh8jOIPji6ghmf/3grYHdySDJJtj2bHs+w8
NLqBRQKj4kDpvKBNtlnbL07eRH0HoGzTOzik/B1nwbvIETiXGNKtECP9XYJFwvHEnMNMjq1h1hsc
7Rcdu5PeARobxA4OF2p1qMw7SA8wN2DS6KrY6zdeC4yghUIwOMBpywpdZ2i/qNiZ8g6gWKf1/wcT
vz/U+tcx4s6iWoweDiBfO9f69as/D8Te+uhTr9kLwzV+2YzH9399hIg4piaF6NWviQwrQhudaqvx
vT+jW5ufWULY7a+PDweaQ5iUwLjAVSkQXp2i0C5/XYKhTjAgnWMsoMcJvj2F7KAP56NDlTGGRMxq
fhz8Cl91X5e6frgk4MAWmJ0NI38sUFcEi1+Hw1/ouPd0+mtNnn7+kNbJhQ7SqgTCpvnxQ/b4eyt+
4f5g8hRHMJ4fWidA8CG43exucbUqr4Yl+FdcFZXZ6c48r0L9xZUpnbAIGyeWUWcKDO3skupWT+uU
yHkXueVY6wDZVUlmhaapatMuVwGR9LQohloRETWqbNmkaevrWHTZWTEYdtaYRFXiDjWR6VhJO8Ws
dp2BtcfSFeOAZ6aTBd6kLt1YpbJPbN6S2zYtpiTw05vc82rby7I71ooTXWe3BSKZTRIcKObld3Ev
I0eXJFV52067rOtsb9B+egm+5QSFhFwYmJ24rJWjqjVdO2kN1zFQUdtxnF/0brXgtXfnJqIdW31q
jrw+y49FKhOVa+OqikV8IasCqYT5UsW4oMrtOXfcgBHbM4ZIpW5/4XekGBUS35cBu/RpPhdV4KvM
j74EFr6ptMwcI7SWWUS7kTt4t0WTjoK8PK6Z4atkQFM3l/emGaUq9P1pJLvL1AzPSmZ9TVLvJBzk
DQozruhQaVVY5k3GQ0sNsAmVn1V27LqpbVV00ddlZ5e8/CLaOlJlFiCVU+a0xLwQMUGO7waXgWyQ
MpJWtLO+Nwu7T7MfZpHNTJbOxRCcNL32jnFYXtVMFqqjZqOGIiltzmIVsthQPIsdPkSdyg2jzmHD
LF4oWcVlNBW6SEZBWopzaWX9JE6FpRoWHqM0l2deWSytvDGVHLh3adSRqYaA3kmrieZ5b/2INe2Z
Kpg2HT+05Dz2C89O0yJSbkQ9p6JJNE7jNJt5kT73kyKzzVict4aubBh/Yyqv1z+SiGBVIj2rC2ue
6Sy1azwUqgpIoVCtU4WoMQm7htgNqr+xzP8URVENSRZp55afOoPlw7p5sLhxGmolyuETD3qFXP09
8dxJDaGrGUmNSySyH8TvR7XfTeq8E3YascI2qwIfszg/zlgy6yo6Ih4+71F0TnDd2TKWTJk6/Gy2
7i1NjHJaRVLbvsFvi8qjwLZ16mZWqQxR1yrPk1DVpnmV9NXMbINJHoVXQeCNWB1/bc3iO5WFtlGE
Sqcvm7kootopWFsobaZnVMDiUmLMmhiTCTPdZFzLPnJSj5+aOboT1oCdsuo/Z9iqVYOycVYOWOlq
yJ2+a44jdzDtJjXnbdx+92GtRwxnrp2yIFfayr7gNDuTuhwxocehj0slLPeuMtsxL/JEGXGb2x3X
2o7C+qTro9zuZRzZaU/vq5aetbnVqUSEp7lbWHaQJZEdWdYk9MtvIsxPkiS9RdHwCRnlJfAXq4FQ
JVt5VnRp7ADDjjc0rSNRdCbyrlP1YF6VEn/rK5mde8SP7aAzupkR9caxTtrCSZvgtInya1IbSz+L
rgRLqZ0lJBGKYLc8djlQGQqfThNORoWb106Ijfg4SazL0LRSBWO2mJ2jclCG5pGdaABxL+LGtjx+
HuoyBvZ07Lh+HKnO6y5D6HdVLjXvxIBC+0G9POm/DQl+p7O+CDy/ehTov378z41O4O+fq8/88+af
Gz9NlnrVSl1u/9LGZ4Du0/eu9NrGD88U7W9U6dWyrOPqNxffpmchG/CKntXxr0Ow1vTsKoPwj56F
OKBcTSqBADNZHdf8S89aMCwNwkXmqomDw3//0bOgTGEwgeB0pVLBvIOqmX/0LIYCXSawkNChDEP4
3qJnoXjvmZ4VJoN+VfAvuCWgD21Tz1ZFG6axFXbnWeUaKhOVw93iprIS3w6tvnIGlOqboEHxuVUl
yXVZu8XUMFE9rQcX2ajulCe1W6mc4DmGWU+jKk46u+fhEg+ssSsYhX/i5813WbfZje7h6YzyuLuQ
npfZ8EhxW9auviFlc1aYNVdVKp0m8PV54uW5atvUu0IeTyc1uNAjr3GRUyJ0C6opnsYxriehxJOM
1se4FzdeXhfjjoSWw5osOI+DLrEJk98Mk7VT2YpP6WAFtzlp9ZkPOnVcDbK2jSjtbARLcB4g4Y47
s5LTXGt67rUWU1Uik2mbcenEHpbTLB0q5Xn8iy6zVpEsBMOgTk7rvJ9E0vjaQvJJVbq2paahTX3Q
XjUZRdwzR5bXzKLCOGm0+ASreaa1mymz0pXSrE5UGvnfaEMWHZOdAsPms5dHnwuaxqPM91rlesF1
ReCBxrHBFE4Rt5nnTaOhyacGS5bY82PVpWzGCitQ1ZDWStIwHFcG9ca+25oqpcNX2OjQliy71oY7
J3H/HfTqFLtxBneC792+vDDKtDmNhChUUQ3mKG/FHA8SRJ07zKmGLa2yzsn79iJK8HcLF5+HNroz
3AzEu+/Porg7Z63rgypGlUKeCTqjtY5XU37suO5Kp/XkORWisq2ETFnJTnWXiJHm2FUU+V8zb7iE
UNpJmHNfGd1gqCaNpAJ8dDYTeSTOcW+G+DvYprQ/5lUZjbjvnRguGRK7QIXnxLQolc/p0iijcVAL
opDRj9ng5sqVIT0zm3jWhEGhOE1DZSXoFHMaqrhpQuWayHc8KoJJT6ORyJFQpTFYVwWljd2IIrWJ
F93lVkZU7wf9KEj6eqRDOQb7KFQsGmCRg9I9Nvoytz0aIbuFB9w2AanYy67iNO0A2eS4E7JUWZSY
N6nvlsolZIp02qmChq3ikiWO5bb2QMxU4d5d9r01DQxBjyNKb4rK/WalaWXzCNtgOM9JSePjllCm
krY2FY/ZsSEKcs6rXqtOFJWdoYCNu4JcNxFoPreip2bQZrZMe2mbBp0VcR3MUK9PchKj41wHsEuV
tGP8pUTuudF643bg3ZiAqq/yIohsmRSTso8yMGx8R+Txdz+mY6EzeNThMcky3sHCJt8yv5x1vM2O
I4MLJw4QOvfbDDtubfhXYZB7sxSsclULd97khlahZCOrlwNYOA3gvElS5WbdZY/KVvV5Fs3yfhCq
tix3auYVGYlSk0nvudIxDbBYszw98XyTj3qvxrOSecMsD5ExITo3RzrPLpkhi/EQ9TPD9L5kRoIv
rDDobJB+0bEBnoLtR9nMwK3tdZ47YmH2Neeh96NME0f68Bhf8jBcDuFQWWBa4qpQ/6c/H/1UUHi/
158/Q8cv+KqrgPiTDoWWNZh7D5MCYfb9amj1ug6FURxwXhfMKbag4U2C1/nLV10dAAcOrIksJuFX
LFDKP3UoBzcWpuhDwndVSQRnGb9Fh0INwYYOXeX5IBcI/jCck03A8ZUQbFn3VVFDi8TQSXI+UH+G
QQeQRlPVRWC4g7k+bmCKsgrd+IxkcTSmmEzNGk2CrDr3a+MYhLIjW+syRQZ4BWjWltkiqslXt4zt
KK3OugGdepJMB58VKjJ0b/vc+1r28WXjutGIJclCmozZYPeDlIvrzB5QG58kfQzeQuSDEZxU6WeN
/ZO61uI0xcmF8COwDTU4JwM37EJG35lBx9hF4DDq8wwkkcpk+KVFDVM6ZeeCgu1p1RFXEWqD85rp
e6Z1qGjnV/bgc2YHTYSOaS9Oq4ofYze5wX237MlwVhL5PXbLm7ZvtBPG3gTU3QmjK6u+YedU81lc
xZ6SPr3FhuEMuvrW+mxcNkWjCmSACSDFBZHFSZzo87CN5mEbjjMDuXZN28AOOXh+qDA+g1TKlB4y
x6ThqV8MYDln/QmWUXWc0jhXSTSgsc9kMjZC+a3jyQVt6lNSCz3P8ktT43ESBaOeo3M4cnJc4+6q
R43qwjBQuEALjHw7iI0vDXE/M2KOWQ2+kGxaOsVx8j3o69vMMLGTDODfoi6c9w0sXR7Vl2bndk4Z
seRTTo5ZX4oKIg6eVjjnzdwzxdhtwRBIKGvtvm6u/T4cwf+DccDK2Kny9FMNbLj5MNhRYHQKbJcJ
DcD3LQSytdmf5A3sQxgaXIWmiB3dC/ABenwVCH3Stu49ybNQBYzdEM2uDItj26jYqUy0q2rKfdvP
8lgFhX9lUPeYhhU5pbryVZeHN8JN74QZOKmbXCZ+dB+mxSdPmrWCA8BBTMJNTTMXtbY0XKFAR3s2
tCSPMak6FXDXjnUQjbOgdgYwoegQTUzSTCMLx6O07vqRVdZLQWnmEJY3tsmzL1onI4my+NQHY8DO
4zKwPT20Ku1QqXBZdOCBcqSGDlQbHGqfnQ19cZsP0ZWb1cImZghWSGAgFXRCOEkNNlBc6BNTd/Ep
Ah+9FuWXgPFTSuhV2ujA5oFMbAMNwyRJwxriJUU7ln0KyMTWtyzNr0UDG09bz+npMDdr995tDOTg
hl7JTFzVrTttcQoOvOse88gQigLoFdQFjLtBxGCQpERZXgTKvi1aFeZFYxtDv/DwUNq0NDw7hhVV
lVHMqsZwzIiNUM8zheIkOIdOikkwWMmoj66MUCHfJarxhgV4j4uqYTde19xEMXLqTlyAkxrZrTcQ
u7VwqHBgfOqFkaoq5iN/qMZ+37BZEOStArOMwrY3nkqNfgH72s/AgBjpDGyaCFKUjmWQpdWVZ7Fp
nIElDMEg0acjsx8WGkzFPquorVnSw3YFmepbzlVf6FpZeXud8FbbeVmhiWt50oaCb+CniVOnrQGB
8P4PK+561dPYVREJuBKxcZXX5rJMABKEJcFMc36bFfm8jP1GQZBxmWXmOTfacRl2TBlWTEZpy60x
Q+HYN4fi1EXmpAMzwklgxU/yFG46SgFNdZV+JUmsxxqse8cLhLSbpiAKwpRTl7BuqlG/yFmgJxJE
I4mCcY5rw/Z9cjZU/nkZ40RRbgqnD/B1Gyat8oi+yEtzEhbkJhtAVmp0jbzcsvUAxrKp+QL8mVnG
/JkFN+e0gckUNetbgw3IdsHcGcUh2JgFBVBHpfu1YcPXosqv/JJ4Uy82plmI6lECAk6Rqr7OBEqc
IoL9xYZ2BC5au+Vuqryk+B4WMYiKzNa+PAdBN/FyP1EWKW96t/0UWdXnIhfYiaP6M5GDOUVWixzT
tPyToQwbJxA+tXs/TpT28l7FCB8XZXidMjwZslo7boS+tlEH0bA4HNNYhraQkaVwxpQsrE8Nu2zL
2eB+aYMT4uPLNMwVpC4/hUZyG+AEtiatJizVcwuOtrCzGJVTM2RLBIJ+hDp50QQMHm1iuFOD9rHi
bAhGMQ9qiNUSR8v2tMziq0ZaU97FIH7BzB56dJ1S8CF1P6jAqz+DaRsqMAFneTVvWK8qWgfK494F
6XHgxFoGEysvwP0qgs+oHyZxXISnqQHifzCKM9lzY9z0dTTGVReqAWEIzGUCdstNRm3mzagUhl0y
4Q8KaU/mqq+xNSWdXoog8c/atAJvyQOJzT+HEMaZFFXAweXKh36OfDOw/RL2mfcDm3qiGgWBa2uQ
XzMXnM1zhAt9bg7GMHXLihw33J/HhS/EoiZ9Pxm6zgJ5LPIRKI9wLHNvnFB0ZmX0GKTRjLkAHTjW
A1wzY3CMguBPEKIGCdHkniKlMfVzMiek9Kapby7BU1q6vfcdVE4I/ko37U3DSQR3rMiEWwceS4y0
E3XxXRdAfJd6/sQyIcBYuRjEg8e++F3STHpUhaM290cQZtLKsoYxa4zAhmMPTzxY7Ox7Zc4Qca8i
l08NcPbmQcHPcda5dlAnyI5i8xaWH7Q4ipdZF84aCE2Ns7y7LEo2CUVZOhTzdJx2ZmT3hZk5AWRY
FcrbL2nVFXYXX1PSOyymt4mEqHgeVooNEXg8bFwE8UUDz4kqdTdGVXbDNbkD4XpRyTa1IUob2gHL
r5BRjEHAoUlLClDZqJynPvjIHILbKQNjXobJOZdFryLXr0eBjPpR0VWAh9aLHZ8NPoR+y1HSxRA3
Z6RUgbYWQwnRt7htJzwIQTgLNof6ki9FkZ12POa2TowRAt+CtgLi5OG4acGLzJsTeHKn3GImZAT8
22woMzsM4rMWgaqN0GngVidurD/TDH1p3Qh0RMo/l1Z3pjve2G0gDRUaCJIf1PuU9GZqI4gFDsGs
IMVZ53njrLUipw4ExPkz0NEGu62z5mzofGWmwfeY0FkeoRi2vT9tOlFP+6KvRmnHzhIkUpslIAgN
f2LSgDk5JdNIW6etOZzUBcbgzg6FzQb2OWyT5AK75uB4lTDAvS8sp/HJoJpaZuDwWljRJO3trISQ
pRiKaUks7RRm+J23YMOIrr7gWYknsmj0xJNleZrkRW/nuD2JQy5AKLmTKHaNiUzaEGxOt4KHi8Zi
IDesMmYs4MmE+fpYgrWVqTjDIVNDI1nwf+7YU9oQ6gN+7459glkOdfFS5nBVVvDTG4NiBLwaLsNN
hKAedi1zCI4ahXQdwpCQhl5hBunBn5lDciTBE+PgIEHSEVp3wEf66Y3BuE0EowgejppBD5d+Bm43
4s7eUr+QOdz0xSBvCG1DEGYDNxGOh5cmARbWfbHONLymKNJ6PvSRncMj75VUBSJ5BAgEq1/+GmRC
CHYzQSmhR16Q1UkWJkRxV91p61+E4qrJWUgysAypvI383GB2wuN+mMKkDVrYuEprclyW7nAdWpGn
YO4C+RwK8N0yHYpZ4fXyBPEkUxkvaHfhg9GOew1eEus9Xp40UVjib02XM3HRunnTjEOkidOQBvKL
kRGft2FcolGQZdoa6TauG1sYngvGfummX4KolyMKD6DplOkdjUk75+B9npPazGIbZVHcj7XbYTtu
akiMlBpCT0Gr8bnZIBqdNnF4XlRRq5IMoqO+vIAg9ZKW2X0KSsktzRsOgce0xRNqMA16A+7CyIKR
JO5YJiPaJcdu3+cOjpLAKQvkxH3+wxf+1ZCRObKyHzVurmPkgcYlRfiVR7p0pBfVZwbPinleUjaL
A3mWySQeDQOknlLDwD9IWKZT4vrmPK3ybJQ0ENUDn4yOrFac4UrOy7RsIVUmGjD5BmtSpfy2R8aX
2PJzR4c+BWO78iyuQKH7AAtQ+FDHG4xg0iOQqKwxgmTZbUEq3DlMpP5V6TXGqOaoGMnO7L6QOOhh
FS2I2ZZRXTjEKHonpMNVziox8w2E5mvP3gtQtuAh24YYzCeGwnRIAHAMsN6EWN4XkGSGKN4cFNAC
cmjoerjmylC5XU3TqYsUBCxHyYSPihFo8BkZ45E1de3ov2CdwhO9xoeASdpQWwTBEoh8QKgD9Nkm
H7Qr2torfT0H037Wx35nR17ugl8D1ojgkRzljYvHhcWKQLnCPPN44c4Q7BGL8gRyAf1cumYP2bjh
W9VpOS4tyPxVVTZ2xfCNU5dCdAQSzu7Qfc5jyCdbRd7bvAyx07WuBd5PCPa43416LCctSu3QHcCI
FK4aqJwOGKke8nQwOg3SylUBoJCQR03SadiBTYkhxarNbNS23qnlRj54CAFyID+gkiQsHXiI520H
SYTcCyHFir1bD8oKEE7OwLUywePMJmYEQOMyJ+PaDK9f3+JNIQIrC+fAQu6HgbyE+BGWW0JEDlYr
s8Qt5maThBMQBDHcPOh2I/BH9P+xd2bbkdtYs34i9gLBAcQth5yk1DzWDZdKVQIBDgBIcHz6E2mf
dttu/72W730rKaVUkgD2jvhiU8swDa3Adv3bjv5XdxXUsj9ezT/9zT9dTW+ZWD/VYrixIniPSlRZ
o9D5NrBD2I5nbUt41jHUFGZtFjWDg2PbrddbP1Zp4kXXWiZvRA42nQbvq6xDlHP2THV8T8rtMxL2
WztLm9vOmqtf3vg/FuMFCf/tCv4XyvM0Nh/9z78QSPGq347kC2fsE8id2CQuYud/TMZfjmQM9MG8
FtxpfxBIkYi64DUEDiTmeiC08J8jOcKAIO5fnvB1eQ5xHPp/RyDFrvmHWw7P8MCofsQ2L7PYsX1w
8qfbXJSW2K7VOJShCqGtG7/164ylWDuWwpPJ1755jXw0OKsuz7JP5jzy5yHru+muHfSRcViTQ0Sh
E042Hzx5VY3qvDKIQ5rKRxgwPyYy1ZmnJ+hg3txm5UzPeoPpX5JYZO1gbtFivM5b/I0O4RtaK+xG
FQ93ZQM9i3vbrgk9D35XVWH9gSURXp9Ko16ipPtmVv08VZKCQ0DJXsbxS2+hKi7dq+Pea9mtV1WM
pieQ56murp2W3waNekNydtcH0WfDRVK0+MfStZHxnlJQIL5+Rwm/FqEKNvzaS6XSzIeEz88rNX0h
3LwLw83lVMGQgPXSQPhNfthqivKkia8H1zzN3VZniYiKqE4etOQ/7MDvZASJhdpVpEQoV5TzfJOY
6Q0Az2fp9Htp6e2gu88QlVs21r0oRggqhwFqqDD8ICEWh0p8a6ibCtMkJp9jCMWz0Z+zz8+1Bzu4
XaFlGRps+Rq2fCft1GfcZ9cw4042LK87dE2bNP1u1fOO9PNJcH4QNHpYt+lLhuona/unAFRVGWxv
rdjanDC8SVwkTsAwzTODdkTQMVJUPvfxNJwrvnw1ikOa8Mhek5JkY6+GtCX0NRTRQ+jWMk9k/RQK
+jXSeDqu8vLyaBx34FveWm88DLoyKZ5luBvdKOFAObWP4+Zdh6reUTPe0CoiqaxZA5oCChkJvUuX
uYMoCWMvIXvrKp2K2kzpaHDVWkfnjAJgGkMZpHZLdrEchn05mCtZtva0tbXIe1WuaCK3B9ZE+7mL
dqMNbRZu0EpFDQeSuMVPE2gyeTPijovY7GXJhpt4HXANW2pEMffboxYQwscu2Yly2pVkfNyS4CTn
OkgZbbp0sKXIRaMMGrD60+nlLcET5qGrmO/E133a6TLrZ3AkM5GH2PZepr3qQDpP5R6ru4wQvY9X
sveJHLOBePzgqnmF/Zb8bJW9ThY9pWZQBhCZO8ZiXWEDgBET7fKsbXQqKU583I1tGgfu+3DpAUnv
x2m4me2uXWJ6FXZQ4JYo4OLYUF4FeV3PrzSp+6novaGSL/gYSge2gIm5iGUU7OKyJd0TA96h89AZ
OAW8b4Yq85OW3XllJWPoALK6C+wi3uVoiqHBLZSGVVjemGFIlYvHLJmXlETiUDEuHitLvEzwaLkn
jXcqhZVBgZ46gBaaNFu+JPFgjyMjJSR7uTjIGwSqfj6sQQYn5V7reLF7GM/0rZ4JkWfAXiAVVFP5
+RKzTyLGUWV1vPbtls6l5luBYzGyEH8oE0/EsWZ4p+UkyrwKQHLllrRx+a2OJPRGQmEdpQ1foOj9
c1z+6ijidPsfx2UvcYevf3Fe4mX/Pi8xJwB7HPHDkISIX/y+haXBvy5PHgoiP4KP8Vv/ijk24F0v
z4yAhoEnQ1xGrv67f8XAtMspmuBxZhFmD/w9IgdN9J8OSxgQiIpxQvFsPIju0aUr+B356nVYONYO
7V3nmzA8D3QsJVRISdoIRMBMebos05SkDTOfdmq/bXqr9ovXPUJWrdKAfV+nuSrMKA49ymyLxAIs
p6jBbsVuiPNt5qmxSbVZQrg2fMojGPnYBuMxrYy48byyhloOY0+V+nZY3Q8vhtkf8flHaDxdVNB1
Rw5rQyfyagk3ePVcnT1j73qio1zjFr+pXDzlrsT32Nr/AAkJOnTsv0/S7bA3rnvMcPjuLfDjZuen
bBEHxtwNzjOLiqACC2Ln9znxnhu3Npmq/ccgcm8iiege2izgWcBMtwKPLSvAXDn4GXUP50R8MLbp
/RBNU5rw/h6L71aHMLeqjT4Sn9m0GuX9QsmpJdHP0LV7qOofQwgdm+L87T0vWxJ6hX0OP80PLenf
xkAe9TLGeVcLED/xG1ffg1nnGGf0OXD+2dPhtt/ka6SXzzpMAG4EEMYgh9+B14BOG82HtpKQ7RyM
ic0bxW6t5eMgg5vReDdbYMtMEdQVK20gm9mkPSofdXXkw4CbCQDhCD6uHUqRRl7FACb4V6qKxV55
Y7yzojlX8E8AQizP8eCd6GzBuzJ3SjTUXcLbW7MCawDmmBx709H96uZ9MinIcXKsMrM2yb5mVZ8r
0k5FPJVLEY2UwH/Cdxmok17ML2XCdo0c72Iy3hLdzZnncbvvwy5bMNQeJ1l9pJEAXuhmiNDztqYx
6Y+tB/2jp165x0Irs1lPV4SRmwqXAj8JC8PrH+IpupsFOQrFQPdQtQ+Vfm5deOD+Ahtni58djnHS
ipdBu5+QYLys3qhOoxFm+mR5tUvG7Q3+g8kFNaeSmVdvHIe8GeZnjzscRK2AetB4tgim+nH16FoE
NIa/5oPHHbw2k9qcw5Xf1iHqJbcu6GX1fD0u01wsOPhu2dwKrJU+yZWWNCtrfpgdbN866JcPVxqV
k8GUedAPXhrU6nWsc9bI58BBZU24ZAXWWh6GE04jx9y+Gxya9Lk3h8WnZRZocrWa+Qxsd8tbJYN8
87z7dVJVsXZ2yxltb2QHnXn1FvjrQYA+TWzHctEf9WLBqwfkMQxO3vpVE9S5nugfNBsKWJAqryoG
VUO/kJh9EZ/AzWfhV7+Rdz7wazI3N2ZdHymAixQ+ZFXE8AfStYUbhQlQDWCqVK7HRG+ncOQXHxNu
EO49Bew4zPpk/aJD/01449Ws3X1jvDPcBNBWHVjBejkHfAJPh2o8jbqZpurCU4+8mrLeuS9wN23a
LDPNm4V9SNt/Q4dCoOB7dUo1kP1lTuKTG+HwDJGXwCEN37Dr2hSH65BOTfzp/AvUFVMJTyu5Grx+
2YsBpV61TSdYF2Bfe/EQV8uHkpFITYj+1NkBGJ1wfjaE9hC30LcruWWuWh4dwIZsUV3RLNWc21rS
ouuiHotOY0kk8bnppSr0Ut7oJgAANpZLxjzxWJbhrTb8kZfhIVjWJIs7cHvj2sCLNjdC+HYHfbx5
62f4feU8XXuE0QwlDRZ2pF7x7CH4GNMMGITPwPVp9X3pdJyinoRZ0J2woT+soZ4OqBRAD9Dx3oQT
TWUU5RP4uT18JpFNQxCmUayfyqQ7VSXsVoCV10M13Us07CmFZlJKMNBM936BshyvnabHKFbJAXzg
90HD8+amL1Pa0SqLlUWNtHlfeEwFzouql/uEe/cYWfw9DrC2bcPgsbfwxhqYDTDLt+6GWB6mvbZv
KM3KzCUw9NoVTm1AZ51WAHNyjT07Mh3ZKUncDhXd95HLV21wI81lt1udgKiFS57iuOuzOQjq1C1E
7MDs4DOFWXgMAqCbImzhYYU1Fg0EkjGcnqu1vp9xJmZOJRofDEyuiEWw1L0Vtxs0qXxU+FrSgLE2
3jbndYiG0Qt0Ws4M8AKZ59Sr4+fIrfu+W39EOrpTwvxcfPy6IVRvcexkOvcAUOKxu4YGbG9YtIFg
J0vKWHeANH50jemzcKVjUSdEv9lGNcdhs88BxcJvuuDVW8NbJ92P2TY7XqpnHPbkCmRHhwQLPw5S
3DJpn/hWHwIPmBurpiVtRhjqazgfygg1frcOAGXCGW8lmnLK2KdcNIy8XovMarOhzUoefDQdRRRV
YdptS1cY00qslbE8kn79iD3cDK6a6K6uk6elY3WalN5JCvHRK5aLGsLbosxeW43XM3OnawQxwAaJ
wvOjTwMRDW2TfA8JPHtl4zsyxi86jPelaZbDJoIvRWaGPdYHB0D7qkiWrtrFrBlTFw91SvSK209d
gFC5cnRL/nuMYACH615ADm7T3sOuDfVb5IqtcxZ76oN09FzLucqcLFVmJ/RVU4OP2vX7dQtHYFLA
a0dSH5RwSyYTUA/E0Tq1FIETDZutwDOof1QCwIxNRL+bAFTDlZumHMhMpuvtsqvGr20ifNC8ZZS1
1nuq+vm551yD4uQZBPXrcfCjVIzAVcWgbU7D6tHFzBZl446jGIesJfw57MY70cw8CwY3F63xxszG
WE/B5HaL8Br4rd3RQ+WEBakICI3huxHt3UJxnuPTwhGiDjYmAD6t/DkbICIm/oqJ9+QFCQ6BFtZf
zesvNrRVThv6Oa39FcdJnq4s+hwmtrcJpOhO+KeyC7qcb8iQLHH9KlpkY+yCIEMyxhnseTSQ30ki
rlEYhGkSgrj0R3UyUe9nZlTqhkp9LC0giSSp34UXAUqa1ZPfJ11qRu+BtUiJ0FYfQz6/Lqi50rja
TOqM7grrApGt0QhXvLb4d0Ir02Tuw0Lr8Cqx+i5JgOzUzDYZ1t1XTFmb4p5ZClEHOzKNb2bC0q16
/74RXZ/hXjgHsYQ5GQHpGWvzGEtco4j5AcrLBft0350RbOp2fRye/MR9qnYdMl+6V7uAg25H8rw1
8rSszRMNvTafB2ypjHyfJsSikhmED3dszjEU4NoM/a4jS5KSFUInN0TjrlU/OWrjaoph+S7dz63t
TxsHLyz67UgpzBWlcsfUs5lMnQ2o8liNrQ/2+wirZGZ73Ui8yZHtydJ/xRVKOqaX96BFzTcpHxyZ
ehtZdyxLNIR191Em9XflxtswtKdWOj9Hd70rpw4nZWAPq2UPS+UXS9QKgGD6cRnAoYf8yCMPnaS6
c1uQrdIHWhNURVU2heyn637Rx1GarEFOip4G5cNjFYzW9023xW+rlnFyY71owhciZ6Z8TWIAdcY7
/dOD/tqDQuH8Hz3oz+qj/fiLFhSv+q0FRUMZUoQ8MKoMQco/taAANgkmKWNyP57lgAbw/7uolyfT
wXRMEsi1eAbqL0Lvf7pQtKch+lAE2/Civ5e/xKOF/qsLjeMIbmyCkEkS/xIC/X0X2jVJQBq8jduJ
V/WA5FHwLCJyUF3nncZGFL4LtyzypjUtp/G4zCsOjZaCYZv4yUV1nJkg8HdCrU+Jp+1+VC2yEj6U
TABkhRrNp6ALSNnNjUsJNU6PXh5448sAq/9hBQi1j/u4vK7CNT6qheWxpUFm2NSfIxqOwFVotVuY
/92VwxeBoncwc3fTU+XLLNYIBshlBMG53LNJxffWtE0m6jnJSQMssE9irC0O+E5AsUpXbjhilC1O
rnqnxOgdfMXKQrUXSG2UP/yOLmM+TOjCXacmBBfQkQmzlakL4OvWZefflhSxvGXs8LWKdwfmNz5o
u+V+kxDpemgA+CsQ/TYIC2kfJDbnwXxuWImYVnVaOnpwfWvx6+mHw6K/igWgUO2mKJ1K9aCjAfKS
vpo85FX7OADY0iJxslW+vPTVRTLaKuuruCwIumaAJY+87w+mIskxsttdP9drjvzPK5jTT93rGwvh
H3Bthb0zuotc+SQm7G4zImlTzb96Ex7JyM/RMA85HeBqA2Rke9PoNzU3p7iT74tyA7Jz3tcikgq0
HXTgZvoWdfyn6Zg9+mEFMrdzSdrF+FgQ9jNpUInqWsoZCLEdJEIMOBVW9VITnAVzqzWwf2RQPUjg
Rau7DSHS4RXq73sSL5mG51rUApTYKiQ618a+aJC9u5Y0oKyhHecDWZ40Ln3T0CnI5ERweGz+lCEX
qjMRjndmgEYJmVAViAN/hsa9TSBaW9HBAgj8H6asgRSCZj518BtLLwl2omPTLl7Qvm52EPjzdNmP
UP9SUoYtzAHfRrkJg6M3cr4XSauyINFYCDr5WlWch/XwPTDwODgKzsJXAyrSePiaOxPj3V6yxAkx
menqZic3hsO05ClD+ZFZiTWCLq9JJ11teQm9JmhckAKg3osp5nmVLLfBVB5o1AHX7m7jOjl6ntyN
FMnAvJzPHL9zCN2jsTMiqCtDWCd+ZdADwEZCzQ/Umpdq2de+nxEUHUPn3lhTkVyjNU+1MrwYAERl
mjueOtXtdG3OlI579MzPgxiPtRXXrjUt0MIhk3S9o810CEegi2zmuNuX5bZt6HZKSPNeDfImik0H
WWBmRwR7rilHX+vMvvHQAyXDCoSyrrf0Um/novKTzBO+PI5KXtNRAtw1742PxjCZB0BNfvkcsuh1
7Idbikztvqo1zxflxwhbhVHed25NK4ES1xvdHl0DCu14WzJvbR/muHzdkCNPrRkHJHwDbD14nWgb
JNhckxtVH8ut/2m7ICzohlCUBYZIQCCjIInrlONjzSZXvdIyuHczILlAjmsxqSHM66mPD7UlXxD2
rkIpryU68HRp2gC3tc1JK9+3OHgqS1z3vtQssw7Yeq38hyjh736JVk0E3T31ljn1t+Qr5uPebd6a
2i4pQUpP93017suOPk3VgBCTJxCxSk7AtkH8s/a+sdDYmfRO1dw8y8h1OdyFU7wmxSQaEJILjTJl
mwZt6lwXDWDGfCPVeetmGA8gt0ETNl9iK5+sEUG6+iilA1mZ/VKpH71BFE6jJyTJvOUhEG/kbUNy
NSNkfnCJ2bGZiXSz2/2KXq3wJkgvNUT3JZDFSL0DL80V5+20C01/wvjFCqdAhebFtus+mCHVN7GO
dkCR39qe7JwgH3ZY5H6h1UXFn26Qjnum0XS9MY2XUlmEU7jrlSiQpLuC0XRQQ+kOG26iDPYeYLGQ
7IHxf26+OUcCezbMfcR5LgRj/9MpeXaL/dgWUYB3qdJhHTMYoO866YC+Io8E4ADqPTkwh91UuB36
7gMh2I8CnBRMNkke1V2TLSt7MqM8IwP8s3bYKGUQ62JqYKYRQOBuk2c/ALGBYu2255vY03B+gdGD
NEYTgg+d+yqbKIxGKJXo7KY0voiXBComzs6+0LICllNB4oTni/zFRfb0GJrpfujB9viPUTc2YI/5
s8/cu7qIpuBIF1gxuDWgC/vYQcC7QmYNymTZ94g+4f19B4mJ9ibRPwAlIQCi/CnvLnptV6soLyHh
4sw7zxdNdzbVlbuovA7+XnDRfXk7/igvSjBh9kdQdbdK8SErL2qxm8qzf9GPw4uSjFwJAJzFQV2+
6MxYZTYrk+imYgSr7KJGexJkNuTpNQJYyrBPXnTrGQL2elGypae+1ZC2o5llQdW2e6Rc9qgjcA3K
6dEHHomO0LLT5rGjcRWO4g7KQIPSKJP+tqKB9IdbvoW5WFtoY7XOkna+XRiGOAC6vyaBbDPog19A
5EUBfux91p5feBbquujij7qKotQI743YsbxH+3PGbj7w8hxO1b6SYQQFZKySI0FK3kIWanSF6QCS
QBQB5j1tBdRjW13/U0f/Ukdfgs3/dx39qDv9V3X05VW/1dEY5xsyjCQBVAf46jKR5Ld8dfCvCF5N
Aj8HLCLC1L/V0Ri7BQX+8ghn+DkBRuTgF/67jsYk0AtrBeHxgikSPMzkb9CIYfJHN+eXbBh4mxBM
BENkm13mvP2+jq4705iaKHIL8aevdhcmL8OaHj97NRZTiHkVpC3rg1c6cE0+fyndBBIKO3uOYU/f
Xds8snbmKSU0x5Ah5PeN/D565DhM9rr2lMj6qAf0Z6e8jKE51IH/Da212A90Hq5aa492ElmwydvA
ece24uehxuCIfgAAUCqbTeumUzYkhw5C5zZ7OQtc7uZYwyje7moMRMnQzT7QwL1D0vYy7H73a42U
jTbQKCrZZyWOQPimEgJDDIj3DZTcNwj7Y6oi9TD0iqS9RXfeRlctsU2htm6/ak3PxIS30GHDFDbd
1RaZm6kbr5Kh/GH4fCUpSA0cu/fhgjyH6EpsSxBPBUXIuo+KATP1PvpVr+lcJ0CX+hdJyQ/BFPYR
E1jUfc3zwrwfyLrgH2n4AdrXeW1EVfj4H0pSn+VmPgbMSNhNJYSoeXVtVlEb7TvEoMoF52qftM+r
KW+Hcf7WxnCwakavl8TuXVjrlCO6noI+3yWD2Nsyuq2pgYczb4dx9km2bvxFxciRXcZKYN8gLpmy
IVH3XUvApnXLNUZ4XM9DQgrEv95kFQU4DqxCzVG/2GFFlVy7t2ibr2aY9qkb2i+d9GfqB+K6qsUN
r8Iq71xcoCpyme/oYSh5DxpAPNGmPxKDAjxhjp9wwJqCxtUPjNh4FOW6H+t5QYXdnlZNfZCQ3s8l
NFdb3O1i5V7xtUOnAUqGU4JgNpVIUyt31w2queZL+4TEtn+JDrI2j7Ge4GeXVc7G4av17UGxfh9P
aEWAGIsdfvDsj7YwGvF2UuOIm7zh0Z/6vYrq93D191xAMTJJdDUoQB8OYlHede39qKp1Z5HfDt3W
ZNjzi7VCLCpE6wQHqAcV2sDkb0uHuHCwp0Jf1VG4a/i4pTVO07CeT6pyCnrSetNzfPZheeW2yIHl
k2z9BOvWv1adC/JKcIzaiHXHHqjBEyhEmsCLvyeG24dhRWG49xe5cwHZQSOFOE/Lr1osP0tQx1ml
m6wjOIVYt7wMcf/d1Zg5Y7S+Z4Lvvaq+R5DtmCRtlKHzys3CMhUwxG8a0u+SyN34QRPinzOFZQz2
0aIO2i0h9BtovbxhW6amoc2MbHNAHTi8V4wGoDnminxLyqQgfH3GhQaQpzzwLt51Z3E41QiTQr+M
ET0XqsmRyztAGdvVSSfQJqHRDbdTYNyrb/u8ilaRUwhNE1RQVHvqGlI0jnJkffjC9jPUPpT4uCAv
rlf7dRmRn5tBVY5H6aH9rTuWry10W8nfWnUhJ/vqejLcz6Fj8t3SohrY6u7ALbkBmvs5zCEWwZqt
CzNFHfI8MOs5HNVx7tEctpT0V3SecW0xxgjAzjj0n2M/3aolyQcVPsHvaFO+9tdbzUCXRF0R1liF
JKlSu/gc5C55jMbyp0VqEoxYe3SArjBxaDpgeATqfxsdQuRekVuYriqgnzCHkjSRU1aF43lm3RXs
8w7qZYOMf/KOuRJQAZPLcKm0BxzD2Xgn4+mVUHMswwURGOTMa9Vg/1s6zMyI9UMwcpfJrb8NiUCX
qg4XrszI6aaMtyeMk4A07e5LOp6QA0ljGyHbxNccbPMujvsi8Pyj1sOUA87asAsHOx65K9Jtu6QL
p4yvQH4NueRokc+h47dAIl840yg4+sg9+d2KgkXco3O45sk6ZduGdjDeZsxOqjOmoaPXRqii9SQ/
BiIa97xa7jBJYgcK/I7y5CtArqdrTT7Erhj6xNshLdhls+duV2fuHEuegexVWRtFcMvaiBeLos1b
HZRrLsz0pYbxqloI6tvuqJy+rvgAZqmXD+NGcyr7LxAGxTj65qZalp1V23Pt0y2F+viCHbgYuui+
90oQVoS/e3H/utjlam6BbA1jixrQJJnzqysw9Fm1XOZyiKvQOWzj4QrFmitMTyrtehkoMdQvU+PN
de57nb/zNjdnyZIUDZFwqTGkwcwtcB9d/QinYMyRSIa5hnAv37Zbv28D8OsMNBX1MS9hw0CIwH4x
ByKLu/qMlBe2y3Xp8krDwVL0DmrXQ1h3M/r0MF2q4RORhNwRfmLeejvEy3FDF5n1DL5IF3XPy+q9
mEU/NRLdFTTo3GAmQpqs8+1UxxvAsORx6zAfoRnVeN+jUSmihqlD2JEyjcsJM1VaP5iqX5na/zPG
QP97/AuGSmJkG7Q+CHqYxPHH8mSweDL9ygNk0x7b9C3aTXc221JUyB9PD8NZn2ShAZvLazBseXXQ
u+oEqkqdq/0/Be6vBS4+8P9V4DYf3V8MEArxqt8KXP9feNSijxEHkIQByqHA/K3ABcZ0mQTEICIH
F2D39wXu5UcjQgPAaswnKIt/V+AGPnRiDAX7RSkO/06BC3r3z0LxJRuQAIBC0QzrhvwJJwf3glDs
SNfbBG7uHVPQWqRvMCKnCelpnev6HSFCtkvcRM4zKqp02qYq96Npe2F8do8V0c1+23x5FWOQUME8
hzSDRGeY4OxoGlSsU+CX1xEGi90Hi8PrJ0SP8nFzOAdBMR0gGp4Wull0v5U7+CaoP2VJur3q5jJH
dnlOezMs39qqEidtkesMPady2iGRMCSJQe5wfeHUZlUTfKxly05j7Cc7p735qoO+VPR6XrLF8RJx
RHJbB6NORwm5gce2TisZYWwgxRifX4aCkF8GhCQYFWJWfw7vHcaHILwvvhgGilSXySIoaDKJUSMK
3fsFPQBAs/E5c1BW7oQvwOquJzkGPfSSDjMOMb0E1rm3d5eJJttltkl1mXLSBM0VpiMMR+lwmBIk
lxGb68JiusxHiX3QYcAfQOS2GFNU6ul+67FNmgan4+hFmBcWRYWqYXUjqn2jArh504pPx7vMZsF0
GAwyuMxrGQaKCPRlhovFMJeRqm/WYLpL2wBkgWegCh+Z50rYzaEJwAXzZr/PGw8B0zL2DwoU7eph
Vt4STfvW1eCft9F8TFqoM9SBn16NiXoWAhuytIhaz1BVaiUe44DdtwwyVL0sezo1L1TNjl+HHH58
T5vbyfp3miYvRAwMU2rk0QALXqiLkFeIitLg78QXmaKZQnEehshkrGuvEHb9GUV63A3x/AjpF3wJ
5vtlNcER37ZImQt+AKC+BxR6rRZEj2ayr/yRAiASfhaXYE5LtduEvG038LWxa3c8hCG3Res5Wk1u
au85CQDZbUt4FZcobLex/NbSHsAYYABeJZ+YPLfHKMFnlPhw3EtE7sFBtBfNf21vbB2Bq0NoHuL0
pUNEwg7NIqS5a4RZDVZFK+trH73AeKFM9MnwMsiRTFquBViY4z+b8a+bMU63/7EZy6EGNTj+t293
yfb9bjuGMuDjAuBpl5AJfpd+BDqKiagEgB8PAuzZ+Na/fbvLM+w4olxQRpP4EoL4bTuGpffLBBpo
ESEBKc/Z39qO2R/TPcg/QmrgkBqw80PzwI78xwPdL8cBZH+s75aesF33/9g7k+XIjWyJ/kr/AGQB
IBAAtjknM5PzUOQGxqpiYZ6nAL7+HZRa6tLQatNba9NmajOSRWYmIq5f9+OLd0TiHlrNcjxELu+f
YUKg7MUoiCxgRxFZjrhLsDY9ZouLJc6D9oLpHTHRtuuHBLvdwdF9ez2mQfUVSBx5s8VVE2UuY2po
TvG68o3RXuWmoW/bJu9u6iSRr0DXup0ZWI63DgKTD0YRFNcpMYOvHg+ZSWfc5EwT22IYjfuZjdwT
BiLnNSOc9MDVtr90beQe074oWZ/3Rroznal8tnvRrSA7Wh+l02efHPZ5h9Bp/Q0fkvZ9sH2xZe0V
b1mlkM5OxubUR0N1B+VpC+eq24VxWG2G0ZTDTWRwt/5StmEkTyZ+pknzzE/7vclK0viQoZ9E15HM
GOvqoC2aGzdijeGGpo4eooQwNixTNvtzZ89LgME38G8JMI/YZcps9FwC4kOFnkJqJeNoMyBurOIe
6FrCoE/ycPRJ+Af6VY3LsYO4W64w+hW7MFLO1dSr6aEby/kd8YqnM7q3OIUjD444NH2sN0P4mXdS
vGZGmN+DNpo/VKw/YVfaFWF8ZbgEKnMT/N7o4Dc0qjHkqmn2UOogg5xCs5vOaamrjdP5CFA6Lw0g
MGMY79q8Yx7DVUwsNa1fJIr3MfPNJzuto0NlQIyIxDisHMhiB5W06sGLKqYto/OfKlGra83At8kt
7EMrHsl401oBDXLI/M8GAYcrNlkunor8JvFMY9N0g94PhtHq7ZjVdbfRQVx9c42yPXJPKO45htuj
IwjthLPpwpHBc6HZ1J3dBDdXa9QJuxO3RPd3p3ObzuXr3GvjxJsXxcstxpskbIJP3pyPT8ViCupL
HT8Ysa5uo8VOBMbLzTYFDs121bbSZJfjRwxA2mk3IfkkHDqAJw7WYH34aljJzL5y9WjfTaphZBal
Mj9Auc67OgZ051cttMDRc37OXv4TelsegX/xLP65RZDk2/ufPI750h8ex5agV8VRZMvIUv4o/1IR
iYmCJjiH0Pl3ZfiXMLr7E4RqZQvHQwBebP2/Po6pGPR4ehMKADP2Mxf778i/5u+TbxgCgWoKb1GZ
+WmLPP2j/OuaoQmAxClvLK8h28kqjkzJNG21xt9j6dA8wnrYZfZ0LPLCgu5QRK+5717lQ7zz/A4v
UXnt9vUxcYyb2WAnJcHvgEooz1nsQsSKm+dJYJLFurRhm0qszei2w5Q+qgZzgehmPsf4s4syce80
dIxwxWhbiW3mKQFZxhnFFn/v9RzFA+YxOewjcLHrlNzbqhAd0CvT384JaVAznDamF3J/JcFHwg/2
thrzDfDFaz2hfU7TnKyV3zqbSHeQDgfxNJjARJNpO1odQVscf2slMEE4jfNF8Xuuq4XZVfsLBXjI
UHP0SHy4SL74se9tpwAscg93CmpPdJwLGRyzKlHYuvW2LLjzwezKTo5jjOcgBoHNiIxBt0me4jpn
/5th923C5KY0urWTTHg5Z5zAqn9s4lqts7R+Um54U9XmuGJteZY6rncY8nv09aLfFEa20CxEvfYb
/qZp3V+qKmGxOZXZbh6MfdU4V05hPefJcO8nbBmDMXFW82geXBsZF5//V0yHl7CYr2crh0hEzHLV
J82nbBEuFotnGldn9kiIEgRBMKdAIp11xzI8QEwrE3tVdeSfMwv7S6fu0mAi2jGSb7fmcFtjxN1B
mIZGCcrEEu21xepV1gb5uPycw4/CxH+yQUyvc9nCCOM9w73gto4VO/eUP40AgbOViIVtEa7bpN/X
tX1xnSjddX5psGBLykNqFpu0MvZNYtymumwvBDQIAzdo/r2n7i1lXXxcIdtmwvEtc/ZveB1xeoCK
WmWya5kwhAsmJdi2YfuofR3thqS4hDJ4m+ph2mUsNcPWVpxC4lnW9VuCQWVjgsOb6k6R6QvvwtE8
mzrfzKEGC+B/hSRdbXKCx+ugVUeCXBiIlHPu+vYmLtvaIKvlZvMHt4v04OKG8NPqOSXwtWbmPLUs
Gy4FfsKrpPNfy1Tcd07z1aumdVMzHM0hng+1qdrxyu+MXSOsU5lF13FZXukEakwJbqZI003dsovP
gn48qsD5NiujB8A2wrOO+8DlmCiGGW/9fAnrpt2bLE+4dDga34Xi50p8NM1+dOd2O7nRYZzt28Z5
bQ0T72TvPxW+ucqS8NQsubq8c45jZC9Wo1uUtEMwxNg+nf6Oh92qGUmHWrg0jTjk3VcHtxhQz5Sw
s6jwOnj08b0LJRYE0MNc6Walmt5eRTqGetqwaZI5TF0/NEntk0rd2anaZ9yNDnVm8FiyIsT/CXON
0fPOKSq8/4VpMSnNsAO18cmVxbeyEV9zD/KYLLPnuQjPjkkoUdeVBOkDv0s0gbti6v3s9UZwZua5
wGXjMSHELesHPgxubd6MdgYmGCeomMePHtwqPix9byMTHO1ieDNL8ktSfJpi9+Jl9c5fXLC55vPi
yVbuya2/FNrvN+lY7Cpv2g8B4ZyqufXj7CRAKIHYGdZOHVwnLu6SWKWHEuwpAp3z5EH65ycPa+oO
HiEwW/uICQz12qy2gIr0tjasi+ZjcOuW/r0ztQedyXhdZEMOZdVaWQC7YAHZ1spxuw2/K+awFFu7
H9fvEbjSdTfBwWMPtcVR/i30v8SVe9929n3K34RzwATSXWQw2rxb4qQ7ERm8ikMqV1XgNkgksA3H
IdlHde2u4iTzV1NnfI35dthzl9VgeJU54TVAeoy4fTycpGEWW17Q6eBY+n4hkmOdAQ9BK8Km9xDi
de3xsW1CHEqatf0m9exT5C+2z8x9E+3MII2tKdSSNTgatxHVD1aMMw/I3po7ab/VbNdXfth+SS22
SwYQn8ZxAf/UNQh9VkaWVT30jj5LLM1rw8byh8HOSavrsWQVUpnjDWbte4GnwQjsaeco91TW/sEw
jfExmqd+N/bWR+oDlG5dJIDIZR+Z4W39Z7b9Ptva3Cz+8j71r8t79/EnWuPyhb/epphTEXwVfk+J
iPa725RjmVBUXd9m2y6YO/9zm4KFB02VBDUsAc/hG/6iNbo/mcI1l0o81EgCl+rvDLd/wKEgcWJI
tQBGo1Rb34OTPwQj2cT2da5QzEV524RyO5Ff+OGP8idsjOU29p/SkWVZT8hTLUO041o+APbf3tbU
CFe5d/v+hgjIVew+G+LGd+5aCM3BLV4keDt//fOYyf/HT1z+RT/8ThZ0lxiYeX+T4LJnHRBiupva
0lr4fGV7NzaldzV0bMdV6gSrVrGmneotg2PgbLu8c7cJh9Ybj0TrqJbHLqhkuYHVZq9sL4LlmT1T
dpGuK57Wg5F+83l6FzzFy+VxDjCNo4tRhwoEHvZQcbxtsxwA+XIUSM4EKLPxDh8CdsgKWmLA/oMW
Aw4RhASbtIloVgEABmP0CBHE994wnDAtYyiIiTxxJnED4xwL2D3iRdwA6FtNarwLggxV0rAPZWne
DpxwiInHQoDxQwA8lZyB7KWfmuVQHIq3gTNSc1YOy6Fpdu0eyXMvsb8hvepVpOAMGBVHbRBNl7J3
IeSwhAFgzjO7eEDvVQdVQ1qj64OgRWR0d6RO+D/6HI/8TRbKc0c69LrIZ3aEbUcWr7frz6nwzkqN
F0Pm58qNjzodL40fXBsivYbt92IupRkUjfgrhokd0PUv0hFfcZs629GRF11JsvE2ftrq3AUjy6/p
CJ3wVsz1ugjqTayn8zjpMw/kctPNuYCwNp7aQbzUaI5SllwHivnJIWu1whqXXsd9cVuk3Z4l7HU6
p1eiBMarK1hyaQeQgaoPWAADUTs5ZVv26U91NzWgMMhSWXnVH/t+7Li0WO2dF9fTOZvw3GGigKr7
FfHmRkbefdvTJmNGGfpK1OzMKr8Ksvi2L4yHcSh2kcHLAkp168UYVfPuqxuxcDdVcmcR3Pf7nPSw
Nje+hfU1me66HrfecvoqFr9jM+zYwm/YqaISYTQtS3Zd8jYPIMyMmmVhl6XDvZ6iexWYR2BDG6/y
PrFco67DaR4rYdig8ppvhT3wbvLxDZKnnTF0Ee+ma2T4EOwEC4K6taTYgifY0coZFUBybJWBpTII
b5lvLtIhnOLkey2cbebSwaKDU9uWBwx4qxbaBmHIa3q2NtZoHHlQ3E1e2JGhY7q3AVvVvv0sG0Ra
PiHreln8ARaeDukIgb3JuIDEYU8+27hK2/mxXay/U9bBQywfkkFskoRUFY4bbDee9e73yTu4O2A7
WUL6asS72IIgDFrQJU4weIfvj5l/RISF7vYXhx6GqI/mT/QDvurXE8/8SSLHYr76NfH/63bN/MnH
z+VDv0HutRZn1y8nnv8T+HDS+WQ3/n2s/XriUeiI8CrggZNHItnxt+xjfyTnOC6mNqjnluQQ5dhF
if7xfBiswupqw59uEJ3bnTCyYttyw0pJIXtBffJEop1VPTjE152A+ptx7B8ABeyp2uFNjdl9FUfC
OeulD2tIiBP3LVVBAgtLNtntzjLhpvEILQ96AJJvSSZyJTvjlE+hs8cg9clfumIMSmMKbuI8H+a7
PC7pPlqaZYxqQfVTNgPveFgXS/9MWNFEE5cjzwaPJU4fh8W6oLCG7q7sOFBSsMk5uURDq43hwiUh
H94eTWReD6s2/TcxRTgghD5GinHKJbyZE0tohDJIgdCeE/q4mOelUUf0OMQs697HE7MKMBtxoRk3
khqedrn9BhTzCO6y9dLUo8PhTlDdk/fVk5/UJ0A3bzxT9snS8RPPI5Zman+kswjjOLbmyvtK6wUo
FsLza88aTtPSGsSpBTuh73IOHb3zqRZKl44hh7KhABuDa9QXFJxPCeGMlbv0EsURDUWjM32eY+va
jBv+w6vu4ygkB8es6922tmdMe6NfDByU9GBMG4d1zZHgwZxrKsh6NC8IlGxLdKd+8bk088fsoW87
7nAqNCl7t3E91EvUgaKHTiTzBIu5N1aEZpnuR0u+VH126Q3ilbWstgNWcMAmH4FL24JFR5cVhO/T
VHzrXRhgbuoUG3I95c4UXcbIZd0GzaRWrqoFhOLqDt7wuweRYGViNGZhWqp1I+ErFqo8Dlb3nCTl
XS9ywQqOxaMHQniuoQiT7Y1sOlxMdafH8KUrCNx0eXsKG4z3gwF+wFO8Xb2WK06chqhGE+RiNytw
H+Qti7IQt1dc+89VkJBmYJ6vW7rTRq9BKmg1HVzxO4veECdy+e5qovKtNiAPGgGk3Q5f2dilKRFw
yWXEoiZDmIDitQwlzv/wwQ0A/8yMcgcrzy8dS7d1v/SOBJoGknjpIiGidcJXcqcoKSmWtpJi6S1x
KDDJlXUAL9KtB6pNdAHPNjMw27uReRRL/4mqCL46SydKQjlKqY1jU5KyYC3+BZ/HS0KNSkWdSiJ7
vYGH+MFDihQTZqeG6hXw8mKbeACmWUAMZ39qb22KWhIZY42pItDz0+cxof/OKh7ipdslp+QlqzGJ
tkvvi7c0wFQhK58uUK9EWDmqiUfi1vpIZviNkxXs5x6ZmxNNEXperFP0zJRL4YwdxtnWqNKXgi4a
s4ngOtBOA8f1rVjqasyluKZaKmwYgS89nTYJ3TYmHTeen4ut0M5W0X4TLDU4iF3rYSnGYWny2pFb
cpPyTCEbJnOX0HMUup+6mQV6Gtr+YajoEGm/l+6YvPHQfOSNlZYeUUdnjr/+cyz+PAsyt/zFsfhe
/Ovcx+2/bj7HbfVnEyFf/sv5CD4O5wHmIB+ZHeoN88sP56PNQ5XqRl+gmP84EYKPgwJLdFBgP2Eg
5Kt+mQgl+voyXMKdWM5PoHN/R1//zfTEnMbx6/E/HI4E7plPf3s6NhzrCIgIuSEdEq11imX08/7l
vxqkWO3+5mcsiEZ823wj1kam630Pav54AudmKZA5J30dpu6xiHrcjZaVNDs31xdtazVulpT+fgbd
wW2zwoxtgtt5sDompo3X+erCM9pvjwUUvEvfGF69ZsRQ9UUpQ+itbHucmKIy3XnbosaXWA+qQ0rw
YdsYZFm0ruc9cX9rO5rK3DeRrLfgWpO9rSoahwZ1m7hFuF8KhTY9tDDyE2FmbcOmTIx9kY9z+VA0
c/QtT7phZ5txgEzvQfra+tkkLfqgMv5ra1YyN7eRzIX9wOM5TdZVreu7TvOviOsZdDpZeENHn+zK
xOsXwS+DrILhNj3aQ70fXHUesc2s3M64ZuP67KT2Y+23D006n8NieFZQoVeeIn6SxvJMzHwbyvoc
RXQwhmF6NBu4bKFWp3FhpwhsuUNIHCaGPCIQ1+dyumoc8VolCcuPDAuoKOubJlbJgT0CyBbxOVIp
HL7KdteSOiiOHvOD4wmyoO9vp1Ilq86PLZQtGPWd1vi87WA+1VN1GoBN6zw9dAip+5wCKaI8MyQM
nLljfMlHx94GtqxXIXmoeW6OAb7GyKkz7EUclqGRHpsZtl/Ymsei1RzbUf5QNt0psglzQaNQX6YB
mPcETWeNDW+nK96q2iTHJLsQT3KBnh0cdVXjcC9Anyd4z9POW8P5AOMTJs4DBHT6QrSEYwecBPSG
b3GJkt1aTN2lhscO26w5Dqme2BaJD6n6r7jtvX2TqZwGlJzdbgRs7K4qQBSZWsYOMxPPcJftu08I
bd964gsW5yNa9nVnuk9dZOwziCLIEQ1hKHRD2zzPuXc3FMXOp14tadD0qavJ1Zgexszae+BzN7XN
Hx5o+aEVwwtb9HJV0Y/p+v7brIZLKQgxxo2+cjJxO/NNB7O45Bh4Z2nu4SG9W635YRj6WMr5bAcE
x9xnHbyV3nzl5iD2HCJfjes8AZAgmq8/DzSt9B1St8zTs0MKEfaxubatVNHL6b9mofVqsy7cNKwQ
fMmWY5Q37LCnXFJ6MqNeOFxN3Mh49HT7JNNhq8NUb5yIHoGhslYiZu/DEu6EJ+DIvZwg02A+V0b0
iKn7yajKFem5nRtW37ijXdW+caU1MbE2UfRO+ftMwb/w3HZDUUR/lL3s7uWYXPH7nZxEvNE2wZLI
ztiklfh8LLtKrnOp04M2cuu1xD7wqfVKFi16mgKoSEF6rwO3BfyVmVvZBA2yfwdIzmAfkWQdV7Fu
opvTMsRm5GNxHionvu7lEiHMmiGA2FWhEm9CrKBYkX3wjl4deJ9n5YU4wdWz0ZLcHlp1HUSYjWiE
YySXfsubGSILq6LshG8ghFjh3HcC0ceux3oTDpUHTSmh0256yKt0ZA1SAiKs2nCX+hKEykPCK7+p
ewhHrgbC4NmZugRVxB97xoVNpvmzDCHoq3qK+Mj5vEbOowgrNmDJROhrCs9Jjuo8pcFdusBjtA+V
LNl4iUXw0RAPgeJVtqs3LC/buUwOQ9J9c5vxJnPmhDwKy0N7zF6tBD6Qct9KfNS9h4damgsZdESI
71oGD7gj5zZwNhNeloTSlKS2vhL50PuKjG9SDK+DHewd2VXERvu3tgN52/AypzTzBu6LWbTPTl/A
Ly3xqOvkQWfTufDHQ1cjYBlj8hJG0zEe+YhqfRnwz4Q5VR4iU/ddN99wi3zVkXNdJpKtxgCjFPfX
iPHWnYfdIH0eFqLBHuhvC5W+4a7Ha5AoaFnE1HQGaaPz4mPYatgPdlGuE0c9mDOvWpuZKYE297Ee
4qvOVt26jcUrJ8GpDpjfjLi4jeO5O5RJ+OIAmVjZojk4mKB53GyMHpBTwW+PDH/2evfQpOGV2Tmv
PqyIYC7XlZfe4JA6pMBEQJwjGVrpu8E1jVKmQ5/huSQ9905G7oq/9SYGS7PyLR+g1HTXAtlYJ7K9
SoSB9KLeAlEdBwAashseAuluCHrNu1YzvuRgHoXU35iLHNyDxZuQLEYtwpW+kxG7qR/zAsUuLcrD
EHKj5fI5nZnlN4llnTGgv6mAAqAGPAzU1Q6LOzn8UsrxVlgm2YkmtCH3NJ8KEYU7Q3g3jFrMTEVd
n1qM9QshKmdPob5AGcfGKQgFjhUaVoJgu50EVlZbxtlXiJHUath5RKPxZF3GqA2+/XA/+xNZehny
f5Cll3J34i0sVFEp4Pyq32XIzNQxyRsFxnWSPKn0OfU/S+dnA/Z/vef8rx+x6NQ/6NAT72KV9vwI
gccHnG1f3ejk9q9/jcUJ/MdfQ4HoZx2giOb99meQIZ+IskE9AkHGw/Fm7s5aP9L69dc/5nci/ve/
Fok+FBOMtwAxMHf8+KuEZTLZbjqEN30+b2siYS3gYKN+6iUavrlSLfOX8w/o5Oe+CJu/3l+PElfl
e93HxR9ltuVLfxkjLFyOXCiEIlMpv5scfxwjHFZHvE4UzqOc8XL+IrN5PzFc2CBQGBb+bX3/ZYxY
HDxg3r5/s+/Rzr8xRdh/NE1yt/dZezmgGxHu5OLi+eHdD4sh11pOzc1kDIqOFas3axQVVKGj6sk6
x1Jd4oi6HuU0+wDLwV09oRDMobi3A3mfNv1HKSrwdTo6JixBItfcDXZ/TknLG8N8lRXm2SsIR1ku
UoHUn3HMnEXGQ8/u82uCqruACuw2MnacUXek1Z/ciRMFPwgi34cngYZQR5pNBYbIchMZpLxVZB8d
L3rGqLZmTiCUmV33U7wZfHGt3QGYkdJn5c37hfA0xuGTw1lh8Btts2b87MfdJQCh0TX2mx1m+6Fb
0BeKtJt/GmTNPSC69gmeYQli+1tdY/5e2WVN17X1Qhj3EFF24HNDwsR9k5jJ9RKhpgIGc8S8icRA
VrS9jaL+Eo7TmqD+Xo79lsMfbYP4l/+tbXxrabsCmNT3wJW8dygZ1NRRkJEMRwM/5+C091E47w1Y
S3kFH6JqHqYWGlqg45vQcQ8pBCczUU9Omx/mqb3Pve4zoJZrbtTXUVCfB7W0zvVXeTMd+hoMHlc1
Vu/XMG/wMC1BKHnvLsFCz6gOnUv8S2bjJe1J45lTzSGZvtulpOlNraMYlHPW81A0unNoLXaUgVt/
QcDMuE98fTRF8Iwv6ylcUAPUC6wADHJxXiBSgajXbl5fSGyNOzXSfJRNWA8AML27g99wxdB7jwJj
6J7VC4pcBHZLf8Z3yMHfNKFg2Jv8EaJw6zXJIWHcOXZl0yQ3cp41QTapCns/NEW886lm3Awax6RR
Asquyd7TXnCfll11VSjK51r4htA9sSVpZx42w4StI9MxYdYitDbwuJN7y7T2KX6ildOR8ikocUcf
94hjmPO6sCjwMYseClwFBa1DesbWNEp8KQWaopoeYknnR0e4jOiUSndzDwqirGprNYbtE45RsSVP
PKGEWXf0ylWbOfk2OkhjvmE9GsipJb1lHsi82XJ2sklx/KSA+5BEZRZ8LOYdj4iqQcVHcmn65Q47
QdwC58EtT4X08ZZ3Vpk/j9DqNtUAzitwlEk9peSOXMnPYUhsQQD7W1UtdZat9FnOUIXn6oQdGLaD
Qfb5GvJtvUkt7wOn8lsxWU+Ooz7490f0OgvGOC7tS3YxXEW5jX+24HghcgBvrzIPWHs2thffDFF+
BXPgWeoJXVVcJb53Jcso3mmDhqkweo5nC55CVl9T2Vbv8oFuKas31KXMgoeCwudV6Kft1ooGG2gv
t5fRLD6Nycxfuc7B6ZLbwCvXbCg/LnZJqo+BwTgq/HgN/u11Lpkgs07fxML9vExKWg6sQzV2qNlV
hFWAyLtRdgg9sONWbe28KqNOw7b2QWl96urYXfGYQmF1jmy02lWv4k9TaPPNDUmwpib66ycrv+8+
G5DnGBymtQ5IchTBix0S1p588CqorGtJYI9Bx1q4faRBm+oxGm1478lif1S87joIPtlLUDLA9ML7
y97VKaKCTxvqdqbBZl2WfCxRQiHZ2fY3iO/YhYOQRmjsJjGAQMhB9ZFbrOLfNlxVXnujcwyG5ExW
Xm5jnoI52w3PhRBXWHOpFjZ8fxUb0EV7oc9pJB7oOj45RfRI86JgPwLqt0kQouVob5Q2zlRIm6ti
Sp+QXWgRyit3A10j6x8iwG27ZsQ8TunA0s2I6gordoiOsot3EeET7JOesRfIQqupYNgp2rzc6R4Y
WzrdVTkMSNfU2V3MkuMfi8u/7yJcWv/6LrKJP8I/EzT5wl9uIqZaLC6IkuzTBHoe+YhfBE3TJWmH
mmijWP4sTf56E7F/QmzEdELM7XuNxg+CpgVkQtq2T9eU6zmm87csLmTwfnNJ5p/ENyO0ZxPqk1yZ
xO8u4rAFo5YlvH2hhieP4C3UXdite+WkV3mcjxX+4WF2KQWQorL0Jiqm+aEvA9hJePDsPnEhmBSU
T9FBLrBUuplp3o5mS2VhMkxcUdqh8G/yspuvQrvP4iNGAeuRO5jhHM1W8EjwfXK/eWAHV+mkAGlZ
KRrRQ+z6GZiGcM7aL5wXWCMIbjcO72QuD6rIPkiAxZuyIOKw7qXXJwDzwSP4tRcP96j+3VFmwMRY
20cpp5mY+rdZujy63ToSJ6v3g1NTo5ysiwJ4eUSOAFdm0217McUnKK3yHARzBVTCD/z3vi1w/Mo6
GOc9V0q6cdFlbyPLWVZZb24afkmUzLeupOC1Us5H1eUfhAtZxQx5Lb+O3xH/xdqqw/GIicXZdanR
v40qVKvBEjHWu7Q317DIkA3jznsxjbjCSzoGX3SshkNrF9YxAlpzNlIrxyfbuNdu3evjXFX1Xi7M
iWaYO/LklGc5Hme6bjBL+GByeHGrDXVRa+BqAepwfvJ6v2R127iXyXHmYyo5DGLLZxyGXUAmn1VQ
uPCYJi9Zl23PY6NIN5XncytEpvOG+ZCZ/o2dUC3CaQLloMX+HAaAPFtJZxWtCByh88AOz9mXps+G
E2QqfF98JKQp10QHNRqwoze4+QgFGpV1I8B64+lx7PtCqeIjEbK5yuu4eEkG2azJhn8tELv/aff5
+am1tHr996fWBcTNH0en5Wt+fWC5P3l8/iwHDwClAMsD49cHlk/5OSFfCgMU5joePb8+sLAh4FkQ
TMHSY376EXDD6ESzAQsd9f/w5Nn+MrX/Z6pfdjDkGhQPUumqxZf3u6m+nZFKe6js1yDM5nNNCVEF
s9gDh7oxWLzPC7eptwb6e1WU8ZYnsXOZRN722z5OyBN1hLgucBZF3hFH5WdgSBeTIbeAIGTiU4az
UNDtGZ8NLuouwfQ79rnB9ZG4FWa11DX86tjKZunGHBylIYi41gpptwx32IdoVdfFi4W9bM2j90Ar
3LIwZ0Cqh6VHO27yVR8a7S7oxWMCeLgpVMbaOdkEk7gvJu4TJqL5imXnqSrzU1EHZ3PUz1PLoU6m
kxq0Kt/31THLQyKuIdoxewmqWl3kfSjnI+WDMVJ1QPRi0PNL7vq34NEpp8YeAfo4JQ+Fa174LnU7
Ob2A0KitJUER98OnTjs2yQva3GOBGFdOtxAipt2oBrVWvd8vuduOrNOsN2mnMtLO8CMmAhYsUayt
cHoK6hhl16M3fDWkZokNOLxHP17ngflV66qE+truElEfYnYaIAayc+JZ1RqzwnPvgKtLajp5e9IJ
QzxwKyvtB4bNXe321i5Ig3W+AN2DJqiOEi7NSsvyOrHK+7oe1xD5YV1DzyPkvBq8moVDvUVK/izB
3oMroyHC5s6VpZssksZ6oHtXUsnXVJ5a8OLofEtBb5OV6c5bSnvhBV7ypcY3XQp9WffvWR299EVB
98pS+msv9b+GCjELYp4nL7w26+5q6Nmi1KJ5CZf+4Dl1ThOFwl2ot0rTMJxo85AWyT07qjPlM5vU
hTKpllbiwGE6r5am4oZm2LWgvJjQC1z92v4ol15jc2k4dqg6dpbO44jFUmGnTwSVCIXUZHvrGyOq
SB/7KYLz9yJl7BBJxoDikqrmKd8L+1Usnctu4uyHMXvQqcOWcNHfAiqd6Uukqbmls3kWtDdXFT2K
9tLoHI3jSwFoCpWze9GUPpuyfZQtKx0AxXtOxpukdbiMeoBSus+Az7AGFuPIsJZWMO6hsnu0S9vU
TAcJQORyaZ4upxARmS7quqvvezW/pl74Vi9t1XQwc9tfGqx5+ptrKfqnIRZqZS491yWF14ZRXgnX
fy++N2GHdGJbpfng07YUL2XZlGaDXb+lf2ik+Mt+QLDzNl4kclZaxjXhywstxsbapoRbx9lLLAkm
FNRz0w2lDymF3f3AWWZEHleDpc3bXnq9Owq+k6Xpe2qZX7Ol/dsXk7fxKQQPl2ZwvP67fKQrPFha
wxfMF4244y5rpxuTYvFmaRgvqRqvXJcioyC6Av8BNdzUH2ns3+OwAMmJhYdxmTKmdp6+jfTzQR6g
zzwILbm2PHD4VduZ+2zpPQ8YCVSQ8tYRNuwmE7p2WcUwl/FZEpCIDoCD3lVEoXqnioLpx7/0Tn0x
qVtPOw3WmnDBqkmhWDugEmZDfGtGecK8fwDPheWE7a+K6qNrp+O6ogZENPWwI4kBEr5X91Jb8hh2
Sxw94VFiWsmFBd/VBExv6pKT61t3bOxOeZYco65+CKL6W6f9dlOMzZleshu21o+VF6HwUNq5QgxX
J5/nIs9GIljQW7du2Y/7JC1fCrrK1u7o85nFBOQEI5amkNVCPIzPftsRTi8NPtNFxTeP01dtd4t3
V+/SHtdN7tnl2tdWvksnMJrjx9hMhCkcUCfFJClRy1/1xF/U9PuHjIXiNhjKZxj1C1vdeLYgLUZh
xx4gZVSbbeco2vKLb8n/Y+9MmuNGzi36Vxxvj44EEuPiLV7NI8niTG4QpEQm5nn+9e9AtmxJ7baj
9+2F3Q6JzWIRlfkN997zCuT0s9N5GIrMvi8qfmE90NaVlaAV1lVWbkrAUSAq1kr6OqCMHt5S0l1Z
WsyEiZl9G1xPqWluLBOLhOo0YzElzslhMknWqti3eRySleYOe7NnrV/4z0ClWMkn4UeKIWtBYtMA
xGDKdnXcPbCDmZa2M0CCGqqOVvhbcfCXknNeBvxxlXSHZGXxAdfp39RK81d+r5UYM1tQSiXTf4/f
z09ZKfpvNg57Wrh/dnDfx8w28ETXMFj64AqVcwTO9ymz/RvyT2zADIrEN33onxGrAE39tVQiAoDW
k97TRD8KqZg//2HMjNLDIvTI1UBJkBecoJkLfWTEiY3ZEknVJnbGnVabiJ2D9DL7Srl1EWT2ZfxE
Ql2+SqJmP1Uc3kUEcYxhOwEePfi7snT7FQi69z4dHvNoeC1EeYZbv2fg4yKhTKq1CeHXL8jwZuaY
6lQ3ZN7eDgYJgFYpv9hkJ6PhIM9TiosnWBv3LlTWKqqexOB8DiaCx6gv7lIjenB0lCJTPJVEiaBZ
gcv+bLZFuyL0ZZXGHLJwNLhncm2TlZyI8Ne3PbzihQmdZU50OgQY5sMVubOcV9BQtJU/mK9F0mnj
Jeo7t9skg97jEMvrJr9vy0gUfL50U608aqs8xzhf6KhsunrERi9aRlWjXHfQZoAkRjdtNDL7Jkwk
zQnJgtj6tXGcD1+YCPpC7NmyuUq6B6POnYU/wm3oPXwH2pjfOQMLUz01XuEqa8RzVcZ6HHTGptCL
bL+uD6XI3ksjiMAtJEEu1tbYseC1U9O4lN88toFjsQGM7wUL7thh0lkPsVgNwnzOgPEQJ55fF9OQ
n+Cxj0vNYaPr0LmpYp9h8q31epuiBUgw/w6W/4ypmII2luMe9cqmzUyx11vu+ICfey1nH7FvExIt
ZosUr+cJrXp46EJHYV/T0V7qPiZJ5m3XAHnvE/S5G6ZX6A2wXZlQBgCt9GX4GNeakWD6wBG0BsRy
nozxghkMbIddl0gLchwhhbhT3XgBDoHqvpLXpfI22mDs0GBerMjZ+8m0jbt2F4ipXnWNum/c9Hrw
uq0xGHhnBfPblN98X5AlaCGGSKMnZAj35Plu+959pKaD61lhsGvVfUELUfXhXZW2z6AQdjr+mJm0
VywJTSM/PZRb+EzWBqmWQf77eLIzOEr8yhnptdEHsJJFV/HaNOTLa4y91s42/MUwOVs5Wa+w9tb+
HKjVoImdlH+bWmWxHxl2n6Rm3oVt/55psJbr+6olHdsrvYsKolWBQyErpkNl64/Ci3p4UNG2Dqsd
pRHBP1KeSRZ5TVsVEtJrb4pmZJsOlyooVLjUNWrgcuzfPF8nzjdlfG1PV70ggEK4TPz7Y15rq1wf
VoZrvctC2CvhR3eTCq6JqXgqq/4UWPpjUgp9LQySEQnrJUBIu/KFt43S7IpYC3dB6Px7RzD5WvaY
LdWIgrNLjknCXyOSGmxVA0Em3buqPXVNduRvTljQJYkGOcmIsYuIZwNAg/TcCf7cbUCzaSwopl+i
GYlkRYTmW+Jz0updHHYvtddveo9gRpeXIN3XxkXK01LE5xBCpd4um0aCDyueRwf1rIGWnCvZPrlG
e+vqJdbEoScZrZLPYVvtcT6A7el8ekbzIiO1h25wMTKm2SBDz1ZHfN1gZaRfV+7eI80iiJ1t6MZP
WB9PSGwfnAwdXBKJ2yYwV0YBFS0rj7Fon9Am3FUhv4u06L4AK71G4XCmi7kmmLvdq5FgtijsdonB
tsczbnlIDnlLTHxQNde1LzYdPB6equ45NcoVa4Rk09WCbX5/xAtz1KSYXU3a3iR6TlSYy6tyn079
rme+DtLnNODeb5Lp0nQxQE5WQCC8jkPBI+siEE/r5IGQqte4D6/N0to3lflRm8Qp5fZel8FjV4d3
llvfE/eSLCzb33RWsHc6F2dSsddTxkkTMBb4m6exyQ7ZRINd6/05yONjiFBiSOSdN3eYhAstdFKk
lpEttrDjN1lRXFtpfgwd9+8qhb9qk5mN8ce1ySmv//Z/mfpIPurfD3LmL/1enDBetvEVmvN89x8j
mX8OclysJuaMeZezJHYeSn8vTtDLGtJAQ/5dS/uv6sRAZcsSHF+I4c2j5z81ef5ZAMLcWUeTyxae
qgWT5e+MJhFiNdA4XnTVpusJPoQfbM3y6Yc3hid/VHn2t6zFPgjtrf7f/zFcfpCfhkXzd5EWu3yd
B5dgjl8qoNLHwmxNVnTV5FGY0ImKjP1fBUHNR7q3jiSHQT4a+slRLgatIqBMmvxjlxjRLam2lyR0
t4YVhKdeiHYldA0to8umM9FDsRQq2PdGum87zOYdlJxWP4mpvwAZOJdTfhy4vMJKHUREBHLazYnd
ovQ2ztyM+0w75rnrV30IeiJUaaaihmycJGk/8RmSrcssNF5UPrgHBIYjox/MfxQIvn3otYmU8h5K
SaPV7Dc9g4lvOxFcFDeZWFaG+eijfSA3yZKvRqrVCw4PuQ1FHNjroC0L5k0jNR52yBESTyzGnfKw
OnAQZOTldNK9stl9D1vm5djFbBdKNTE90n2cjNJeJaWRbCsNVcJWJ6oOiyFiYuGUjHZS4MjsCskO
cREHnvn3E/JJxxxrQ3vMtWzr5nTxhDxDjgyMZIWZJMRWYMaHdiht94bvV8tXomKd+miMeZcTqi7h
DFbWcBPo6OcAaXs0i7Zz6EjzfRE2VxbnJlG6CXsJs8laE5JgjFHFMOZ0ZDfofDI8+tp7yFn3LuwM
U4rWkudnFENAsjoNbqnUiJvEAhLWtlAUec9PDITqtzpQx2FkZTsOLjG1ZbjXDGpRZCfhQiVdfzt1
LaoyHJDM+r1bNVo6AIsgZKkMLjIvsFkOsbnqcn3llOET4by4VKe0Ay4TTmtiEYx5nSmQ1Q3hwZ5a
wukbxkxNk+jLDNTfVQ1GbbbY1ltbdjv0ug5hJ3gqFWEAa1dLz7gwzl1VZ5u0Ci9mbu3doGWQaCc7
PjHxSklxw915h8i2e1Dd4H7mc85WFK/sfrA/87BdWYTqxn6p3wut3dBabzQjj9ce/K7YJfZ4IHmo
touvdd3QLlUfYzQ+lpTQlewOBDRv2HstHHPamoM4j27HwIhERMs4TaDGVNW9MxI8l6m2SXp9LStS
rtvxS8ZlovIvvmj1VW8nVFiO4kVY3Ytlh+/JZJtrQG71oen6Wc84nYzUQD5hnG2q/r6NXwp+fUQb
kKXkOjTt9kYZhOeK6WXwa1DREFVKUS6kr5hN1Jkgy0aPVvoYrDC/3fAz3lptC8AinNQqrBCrmh2Q
5cAkvDbwjUuTZPW5L5sjBBYe5nnkUqILj32wE246Hj0+RIJq3vCq1eC6JxdpDYSLJ+JfybFx7lpD
XbKyODn8/87wTmnbXQIvPCRIUQyf4YNSA9dkjEEl6PEFV1i9VCWuYi1+zWP9FWX9gfqOMBD3wDD1
QsgLsSwZ+LDkbJng6ZJyPE6Osyu0EFFhMH4pY2fXelQBFSNiIm9ZSPdQWadxX05ZdmgAMKQj6Rha
gFFtVMyUrEHG29IrYIjr2u00kuP1n09e4ul+f/LS4TKsF2idJP/7c+8ZjHpaj3YSXuVlbECq8Ma1
Q07QKkV+AM5FYmPo/I3Kg3SP3uZDL8r6UpaxuHcx9+H8HW7Brp/EwDrJc+gKmy3W6k+KUbViNAmz
PvKxfY1ik08804kfLnMfblEfsXc3y85YOW6z63IgFM7ULsOofjScoFyTEQRlG0oDpJQl/roaNU2B
t7nxs60eVVvD7G4SA65v6nwdk/SudaJD68fHqU4OeKVPTpGTpW5426Yfc5xt4c5ATbus2arbvkZe
rRltFbffqhb1rTmy1isC+yACJjhQ68TJb9gKRtXwQClo0h0R92aMxrVJEbUs7VnbEMbnroBpXEd7
vL5bi+0hMd7l3p89Yhi48ZS5yEebaG2p4pQoeh0nM65D6sSkTXfcaxW0FqZC+VhvgBNekxx9azro
e7qsS1Z2prGYoIT1q+omlIRAp8Dm0P5ED1SW+A6G8M0TDgTEed/AA+pWEyjH8iu8mS0ubQs18wsx
36tUshPwzF3POSTr/GvuOSdRsuJQnvbV122SoFBN2209LGIy//Zs+jjLmlPo2M+GSDZCIFVwNeJa
U0NfRvUYr81AXdM36VBCyBkyC9ChGKtb6EuSiH7wreck79P9f35U5wX3j/skSgSbTTqohHkTb/46
JImmap6cpeGVj2JdRofKaP8+RPtDrevvBKIMdIBEu8ygTRdq9y8bK2lPGesxpa4SfCGafR224S4s
bivWvcTELUObpJlo/Z9/KjIvfvq5+EF++a7zz/3D8Kct4qYwpaadWdLcWYYxR2Zld9yKz8qk9qCD
i2CoWk+2L/cdBsRlN9DVJhjw8I2E+RIXz3OuOSfiD8SSIBwmBb3+7gYoplMRPdBV9NA8x6OTmC/M
ooeDnkgbu+2U5et2crK1S37fSi86l0TUcdy3gyPf8yyCcTMh+w7D8EvCs7ouhR2sOIHHVUNG2BJV
311rzi2+Fj+0qoMypeRNABecyeyOS+m+rqqNzT57YeCvlyTZrCO2ygQ/ZZAeJoRAhHaY+DBA/zjh
cGsEGcNhstdLyb7d8sYjD/1nWffGgpXavjK13dib98MUPZkiPljI3RiNU6yFvgQH3gCQsVtrH08R
kfHlKht9Y4WKSHDBxJyy4qkDo0NmTnp2g2GbVf268yeeYNRnjYLygGwrj3AYFVPkrqrEPxfz2BdF
oZ7TqbtquAsQYBKuoN23DUGyUiLtmZxmq5HGv9Db/M1WCCFFOmPloBoPDZ3XobM6bdFZcudkeCoK
XX/IxmA3+ANRaFV7RVKDiQrN2lf0eQQbs7kL3UVpmVtVmCeHdvi/PG7/7RmfC/EfnjYm4E5nTDxt
0Sm7geq+ocl9JGhzz0Tk5HL1LL8Y/cI66Ofstf9voeJzTMq/PsLfH3VHShS6hqN784v74ZvrReBm
sWtqZxRyi+xkLIsN+jp65idngzv04Vpbnp66dQTS+Y3/Sq7Gk1gcwo1/NcMA/sur+fni+/uLkYLy
0pU2bZT1i7Z3FH2KwX8O8xQ3hSTnUjxV3d8DFv7wRPn5zPr99/jFhzgxrtKCgLSwvPxQ1c4bL//5
1/lvfwYG1yRtm99SCX9+Q9OBsYwISy5v7ab05nATas6/n1B/te8m5/sft+93wVvdvP2+c5+/6nvn
bsDqZBGgsySw+CXY6Cy+d+5k/gr05zhQkWGwReCj8I/O3dR/g0VO6KNru6Zwv/lj/7FXIPOXYZ4E
QjzPAf6sfN2SP18tSDBMtBcueW6sPshh8n75sNOGCwkVMbkRIAMgoKHa1OGNMdFXW9IjrkFB0sBi
m4kTY1jQbe9KhAprd0LgSxfyQVocjhrvnsQVsCZ6yX56xp3VamIoJ3du0m5seGgpy/KeOL80BddO
mbHiAHipLSCDM0pNYkGqYasR3HUem/YDGM+6RxBNUgBeN2hs5WB+sXG00jKGCyqUeKmFabuLYLhV
ngcFRkGcsaCWRWtNwjYhIv5kG/mDQ/JSP+PgxsoMt8FkvCWQ4nAEP6M0tzaO77e4VcHJVXqilgj8
goVp1wfU8+xIUW00M4VORus4iO78Dk0yc08uhWK4ZGwVFjUMu95OxY5bShzlDLibZtQdCAlQZalz
7cnkqzHj8EaDKN4QaDH7Av8eZcJnUuDbFxkbRRA553gG64WotdZZVyTLoHBIAhiAFDmQ+GJtPAQz
mk/B6GuQpSCpyohmywlVQLCbEWKvfwP7Wc3Zg/RXkjKIAuJC3JLG/c1KBvMMelL3k5zlHjVNdhkC
MkSBXL1EkATRo0AJmeGCbSLT5WjL+wnuIMzHVT+DCEOXqlrCJiSj9BjBKqzryd5F5JWD6ABkGNS2
IilHXloYh0HE61cz9nCaAYh2Ye5aG29fMcMRke585NAStTpZ9QpWUFiHFJLAFAVUxVAM9WKcQYt5
FjxDPLwdKhOGp0t68iTbrZrxjOUMamxGeqR+hjcmIGJWegrQMc3bawYDmOl8fu81MZkz/FGkxYsO
DRIqxqkKPfp+BSjSmpGRpgEs1JsxkukMlIwgS/oyv0IFcSpDy9knGkpbBYVSRPlLGZXhpkzYorQh
zaKZEU/EC+1nLrQOxLLUxY0B1LKw+lnWhyRRtfs6Kx5ardvmdcZ4Nd+wC/NoPMMaLHjnrU27J11x
5me6onvGn0fcMaYPAJt9WCC/mZmbxGNcI0/AZ+fc5CRhAUjs7lwwnY04lNNV0519iC2j8PZqyK51
wJ4GgE8GZddai4W1G9mlzAzQtiV6c6aCGhNhsnaUIPFPQ39pawAAS8/mLedfmqWE3gNFS7FTkomU
iu4ziId4NaTSWRtzMJGM6/cBsXMPrNSJhnafk6VMQigkUz2z9oGO82/6hjkFsQTLO/OGLdZVtaZP
9Ze5E/Qbb2akVizk1ExNzWd+atqZX1sLd2QLWjWX3XMJapVdX7TOZ/qqkv3N2BKiilQR4UYDa4bj
CFwr5kkD/I9KmiNnD1snt8ALMpQYB7K02VsZWU4biYPVeuhE7LrbAK3XtkVGxGepzHRGcUM1rd1W
DUxhMnROSLuQ2O5wEI3FopIkR1yx1RjbO0+kenPXe5Umj+3Q5sfeYnf2XE2m0V1Tn+9yRTJjETFC
ys3YhINjKYYX05teqduaBSaApOFgAn3fVFqFc0Ozj5YzsM0kOWHRJvYXWD81Yz+bCX9kPsea7S6D
DgmSToz1QeY8zHEGZpK/LnCh5a+Fb76xUoQc40IBlRPSDC8glZIFI1Gi1MRCdIwdm2pYjvFwHlFW
DKEXbQhmPZtZddH89pi6+SvZoKxnJHFayHVqnQGJKqxkWcvhgPvUogiC2lW8hXF+C029ByNkBWtK
DTrtpr8TRnTl195Ji8aXJDA+J13wb1HWZ9ylyOfRVU0HYxyilWnhCFfVbTzHF4uAWdmwGlg0Bc5Z
xIlYeUP+1qtpH7DsWBLYY8OznSjYjfTKduJpZVse0EVNu5A2Yax6x5rIQmvPk2COYw0+DVBUUEKT
x1pjGN9Ks+NsN4uV44XOeiKrFGmYdt/Eq8lST0bFotY1IzDqWowrOPZ6vjleAy/2dnLyMH8MADsl
7icUcKS9pUPRI2bpT4XbGAsM9jgtdOc67LMzKZjpcoD35mHCr9N6p9rmzfb6cQ0n4m4k7GA9pSpZ
+6AjCRRuH/y2rVdtnz2R0HyINKRVTjs9tyWTRj51Js8AYD1LGNqSxJeP2vMeOKA3okhOcRrMSke5
k1H+gDt3q4Uwqjol9mUvbzo8O56Vv4dcdEjmxJVJ9o9JTBLYONPHfKZXS0tUezWjt8eGkRxCgwiH
fwwRfpyDE+AIuka5ra2wX4ZmfR2H7Q2VyIYkqccuxaZClvsSYgsPYGsO61iQvyP0mUnNTG2rKf4U
ana+IpJnm2mavrUNeJfk3HtLlOnXyDujBXC5A9K7alHa5KnWw0PCHpagBS5BjqyNxixvCw7kmGSe
vSRKHTMTnzSS540bWwfkp9VI0RmOp/vJSCSUa5Q5I/nLy8iRe9MMb5ibPmoCBSeWNchcoc8BZ/W7
KTX4SFjujYHCGnMSfhI7H75kuXqSVnldZ86XyZRfBltsCGR/zmP1nCuQyw2gED8tnkXu7qQJYYDs
OxkhO2PwtxQJdKmqf5uRb61D2nuMOL4NL4TO40ZpxF1mzoe4ZmHggtv6rdr8q+wWVKl/XHb/XwLp
9eP3Zff8Vd/LbrJn2BLRtaHaQQItqMj/WXYLKJ1Ioi2LcuXnbHdWaZL/CIshJ7U3AWz/lPPgJ2WT
5jiwOXBUE/v2Z+Q8uvVzm0vZTT/AskwifuZ10uv+3JWpiruN9XdyrenliwqbfjEhb9VHa5/oxJ1E
jBPqql0j9lmIDlkf8EZvLK96l+WSP1uX0lnej/gYShh6WsaUG4HAtp+Vti6aO84EGuPGX9katVeo
N4/hrM1NEOkGs1q306pdEtdvZCarRaubX8nipHjRUpIarOE4IPrFx0CCGRulFRE+a3uEKK/PGmHR
amx7UmT/hgtB0pm1xCZhJWAY0RdnCI0NtEorLmXuSTTI5JI+YxeAl4Y8ORf2QZ/1yuWsXFYdGmZm
QguLWI0FkpYbTt4nZi5s0GblcxAQwZjMauho1kVPs0I6nbXSjs8WodmQrcZnGyg8WqbhcQrUGTfm
saBwD/iZFvmswOZTf9uH8YqdXbqOEWn7unHvk6+46ZixLpBwEVgxa7qLWEP2isw7lYQ5+G7x5M4K
cJuRUKuWFh4VddcYUfEqyv5xhIlybHCNFRKpYKLjSo/K6hXR+p5tzTYteliDLWAOk9kymaQsMgLf
PQfKeJRlPYfb9deabdrrOG6pySyS2SePsY6qPG2r5e2t1IKvVuLnCKDUEvUOSwT7rRneCm/cmIX9
Vo8y37aV2CYtiPmq6NP80dOD7C4RQGM/QjV97YfgdpLYcJy2YMkRV4HrvlU4bn2ebyDEmdgNjQFe
oPK9axN2y2EEVGV67Trrcfs1FeUA93QI6dAbr2Q0oQEKczqJxHKe+oypf5gGZznkH+XUgbrOlcdW
iBXjtPjrnENiSGTwf1QHrJO/rfLq7eu/ES7OX/jDUec6NnN8ErW+KQB+OOqYI8zhjx5nFxZ6918T
BukxeyBLC1YFwkbMC/zRd+Wii2HNICiRFC50gFDi/sxRxzCDo+xfE735qJvlAR4zDqmjYNDno/CH
iV6pfJbIeldfC5RsfTbO9vZypXHMkvFeVzfa5Ktdltr5s2WSKkg8B9e7ozk0StOwrLUuA15GRE08
ZdVS+OZTXMfOqorckWU1wMXJbBBsh5ADrNmd0JhtTsixx5C4rvtTFOFxazKbGYMbHOzCefDqbK+C
AGrt3AkBzzkw+FO7Sjr7Jhye/N4OsHMWd1U+R9cBvtzpQn0B+HM/SHHU0vYqF/iUW0XdIapI37Ar
pr3ttVPSh9uxxO8Mnw1hWfLiN8ahsYv6GMzRmp1KNooc4WXbsym2B+vdrmJt1zQDncZgjRtc8x92
bn8wpolWdUA6fV12Z2+Qz5mRZwfSGAlzctw3owsuAcGbe14mjrr0miX5wpWdswQ2m+ePQzQq5I36
lj4031qcFmic2M8ll9QP8NFZWNoIAxrmkyVPiq3JWeNU/W1vx2qHF5io3c5Sa7xf0yoKNXvdagMM
o54OnfMr5Bwj1QZngqED3iSjHoUbxx08ui2b9D15Ma/pfCCW89FIaM71NB+WrhgfSXXs3Zuh7tWp
aIYpXSSuWXmnQCs+WZnDb52D0EBKmMt84LCBJj9s05DReRlG3r4g6uciY+NBD4NwUYwESxpzCBRT
lZdJAAeiT/Ha+9ZO1BUq/+IwibTy1hT4u8LK1z06Lz3PkXGSZLBAR0mzJcLHsLcKFCutu5Az208q
ZGeFXZDnlDdY4rT8hvUkYDhgzSz47x0N63sfVV/bdtgRxEMuTcZbPKYrPxqeyE766sj05GtwbeeO
FOkcoZ+O1r6Z7FDJrpEvqCZftUJymypnO3omWVdBtDOEuisdMAKoP1jcy2xRklw1svkfiCrPkvhk
+w5UZLL+3ZHMpCn7FLPEsmvxvNjoSZfAWqxFp0VfdFt7RkezGYPhNgma09hp95YWvDZJ8hFUbB7L
VjuWQ3UlpP8wZNFx7ElULH3jUaUyA37s3/uDc2wi3qHCUOZGFk6/jF3vKjPMF9/pHzCU4YhWxEYO
GiNlJxTveOJv+yq6UkVFtBEbStfpZhXiLd4ainA/vFTEnNlAAxiFHhQ2ntbuj4VmvauxeXRN6o7M
uupMawZ77yTOqoKp9SKux2erpXGP1OzXCj08rIAXF6rU6NXGnLyAgX0tWufnqk4P0uvOscRhKabH
NgtoaQAGsC3q90VlhUseWLEotOS2DgnPlKm3c3AEwQFBGQQyZZ2gh1yT+jkb6EHL5N60o70nKqFI
o33mMP6rwXYbzNDmE5dTCllmzJY5b9mVGvi4Ny1qVyUYHeii3AneAs6kixztc9R6X5CK82w59oNh
m2dpMjeR7agTkgVtIZ+PuIr5DM3cneFlm8TBVWHMmL+6zA/wOpNdysRDT7BKqLRhYcvz1k7qThfm
u5OiBEA6cY67wGdOpmmbqE5udUfSZimgzqPhvBuA2tZ6llDl2MV6lDMyIyTLnZN0Q6P3WTWTfxeV
hPyFlX6fhR2Jv7oTfikCjZzfrmMWwxkRhk990F2Dx96RFPeJKLlfNxljgaAQyzgtC30Z1hYCJ72e
0qdUaY5CGqyY2dldvjZ162i51b03YuKvUgfDxJS/gn3x1gVkXUAY07PfYTV1uvrdbjSIsm11Q1TS
VaB0YqP816FuP3VEH3yMq0NCGkKsTPhcjXVp4+ncekikbFHl/Pzl2k2Gk9AqiVYlEwuyVMUinNp7
OYgdmM9DkkePUTfz2an8eTXTs8ecpC7Hx9TqL0Uf3fA88CYM7UMa61eTxdCiId100YEIbR2MeAg1
7zI5XukMjcUQHU0xPGQGKi/TurFRwhTExy1c/mEwA2flJDaCDtLA4H+SKBhGoMYzQX4pZ+yKkd+O
4cWuigAvOWnNsWNTlNpyXDDRNBe27idbu4j204SzRIuxH0dsWzHakDYzNsa+ItZg5SURjixZZPTm
yAvggOizDGDjGFCJ/6rKvlVl847kj7vPG7qCt/r33ef8Vd9LMrwkOEUkXpKZEMbm8KeSDF0CWx+B
hpG+lHXf96WP+A3bPlWa6eBC0X8ii9HNevSsnvVPn8mfyizipf1ckpmsIuZ2lqwC05W/ZhahzcgI
sRz1awuzVLwLuw6dlVvG58gHYz6R9B9MTz42Lc60ZNsr7wl9Ur1IGRVbudp6pPwRojE8VE3BJDCv
Lny0tx4rkNZXSzsd9nKAh9PucGi85EodfLUJXHWtR54652HtLrmwvJWjT+hJahvN5Dh9TUxGUbiB
Y9we7otj+vACuJE3Zt+QS5LueoMcaml1N2HfyHWJ9IU/F8epw7RloKNnj2ZDBgJaoWGfSCvxERb1
Zz8ZQCML7IZtHCCnHO5Sd+AyG8yXftSemN7aSPznwTHT1m7iirPH8aiZ8a2to2lhVDmRNRKtsPnw
F/360/KpTrqp/lJ1+ko3chItjTBc+L5JsmaALA6f6xcRP1vjDWsRUh3FMrT6CuKhF6x8p6lWPYwi
c2nFYkgXGcPOZlXIsd9XNZuMNz00/W4dDlW6C7IuwPOWxTsEFeU6ibjxGnMo1sKvema73rCuDRfx
DVHje2l0FbBZUmnot/vmElCH8oMl1aXLZYTHuCu5eRLeqtpnb1UxQg7KaEZFxLTUJeOuqSJsBw0l
GZFkRjGKjtfNXJMRpofzwfOtre304wWlCjdGG4ElIF0HyTl3U0Il5+PpPPuWiFa4YmrQvp2zHSqO
/QwOZr0q2YKhHCAMkcD2T8Mj16kMSiJ4QGztKFjeOxQjC2Q9yLqwDS70MosWYa3lO/qTDwiZ1qIt
+36dFTyqlWfuyX6pl2REJzeuVFxraGyRpo7h2tMzGB+JpH7tamuLmfyD5aO3xZMbLMpKS26cKVcH
3rlpEfl99uaylEC4FYodTh/eG4ENMWNyu5B6E1cr3WHplFZaRtp2pnAWcXLX1hzq42rVsWckDF2z
rbZeMBelwpXbAjs1a7zAJHvb+sSVai7MMWD3ZsptjT09WAhUM9vII92hcl3zXUDoZTyQBoTS4B5V
aUV8Ndch4/Je13iVsMWijPkQnzl1qCJDQP+Ks2YdoJAT60G6pG11VhV9Jvi8dy4onks+r0MQa9fH
xoe1cpRFuKzEcJ+ARlkxI0BcIQnxypPycdQ8tRSTjx+FEMN1TaqD1dUvTHOfkpwVmU+axTqgGVt3
aZ4jfHaoaMfoUc/ym4jhy+voTWgoAxWcRko1xF7cW1N7Qejt4j9IkPNlTrn3Wptc3e61Ff6mVy7W
DE/77KNmdkKHL1KLDomZPBOKjOGm1tjspdV8iHhn3op9S/JXzueUwHuCNVL3HrXqTakHh4Jc0kVW
QToU5hfD9p66RCMPvRpumgnXh1tVu3yq7+rJe0B0CASxIRmlbCuInZD9Qj8ct5K7cRllg0nHmR0J
bCIFP7hVAiu8o/yC3Ywsj7BE34YId3afGTvu3EPs+NeuBPMy0M2y83b5pDBuynjYFmOYkAmGD+U9
crPs1Y6baKdkF6KvbWfQmWcebNtDfmez8TGt9B32IWeWaLO1LcubvNfubJpXfLNxeFBZy0eZUfQ6
HnuXlwSWcNQazEIDZ5Kf9+qSklC3qPm4XKAhysUkfH9Vzd+0KVjVwBj0tgKB1G2iqmLlGniSOGFa
GA3sbTVr8LaFqY+wGimYyUhIOGGcEUTaGJEdFspV6KTm2psiGo3K+qxHRW6mOe1xTl0LDDOpjE5W
S9yz7IWxlYDZ1hhc/E1s1uQZORYzKmb0K1Pk+c6g7Z3FTIswIDnKD0Nja8gZDUMttAtSPrVGT5Bm
kknscQFLyrHglBKlr2+ZOKmLVXUkyHXz0JLtLxFvcG2jlIK8JI4fWgReaI6pf6j+/hq0zzf/H5c6
WGebt78t3qr3f89S/aHiYd7OpB0PylzCiG+Irx/m7UzSBZMmvKvfJuffKx5p/aajJ6Yc+oechanW
9yGUnJNGbI5LwozmAZX5p4ZQv9Y7FE7IuKis2N169mz7/XEEJQNAcQ3xzVdB+jrVV8Pw8sPbcvN7
c4r5e1Yr5RnmHMwpLvAvy/lFxdX6tdn41tBe/T9759Ekt9Ft27/y4s6hgEuYwZ0UUK7LtLcTRNPB
e49ff1dSn/Q1W1QzFG+qmYIhElUoIPPkOXuv3S9CpmN8myvznAXJjWi6bx34BfywsZ+brBWaUuyZ
DeyaOln3dkVoimIR7z4a28Ju8PCCEukZBLbVFwVrCtr0I8wyGmFdypCAIZo2aCI9GkNXG5dhDs8d
NgJKXW6iJyK0LBsDXEW7GlWxnyRPdhQq/jGJmJ07aLNMyLIv2D4CGmqwaE1qiFUj+bSJJNW6qfm5
l+zaTgOmYqZRfdAk2ZY2z6Vd2Qrhr82TK+m3tN44zEoibjKNGglgUHI1ycudm+IwANBNAemiVfVd
F7LuKBm7DPp2haTuNuB3AzC8BroiJ6L/v+A7U1RIvRrIXpzAl0AGCBjNl2UDEcoPq+7WZsatYGAz
avclVZVdUfUXneQBC8DAU4rAXpKCw4UdG3RwbduvgTYwrLZZel3F79P4tZO04VZux+CHMxJeFXDE
mH99vALPLZhiF1xxXoujKfnFjT6cMoO5MwrXpqp3liQdl6b7kMSwj5c0u2okDbkFi9yBRwZWKNfl
5MJUzDtsHymwYVjKxoI5VNKVI8lZ7gEuz5K8LCSDOQDGrEoqcwmeuQfTPIJr5reA4lQgQKJKv5hA
Orugnc2S+TyoZwvkM0ljDGbNm0iyoHsZqm4OpwhIdEkZGU7JYzSgYs3BSNOOO+LNubUkX7pLskcd
4DS51wiF+00JiNpZBH7c5oXcHnqQnbtVjPa55Mvj/UO3QVmeArUmbtRrgFwb6XTkVOxQiuHHMGfm
+IxAaATaQOyBZPMWbJI4eQ6DAK9R2yUbhTw8u6q/Md3dOcjcTYDbDC2eFQDcrQ0xIqW2HkBzqyL7
tEhUt2R2R8C706RJQTDA8zYVm5BHV9IaIX3HKMLUnB1Ty/FeSx64s9jiBIm9uIhhxhAspA0+JOvE
NZ96yRNX9KZaMRPh7UmQKwAdV3ro47rkkAvaYCvyCW4mySjvQcwc6L+kGKWMlpSDiq6OGQfrEbx5
2OnWOgbRgqYPP7lkoDeShh5RgJQwHCUkPf8OTM9nBegnpoD4PEmieo2C1wcTScRXWoVe8zt5vYx8
egINcFBFXXeL2a4KyWovUd+A/+rVA6IVaQnRV13dHGgSXyJmIAqip07B3IUsRK/bHXPMZB3G/dEi
QWXVphXWh0VsyZ8he3nSyQ0zs2pddnVJmR9nlzalX4pntr0mijj0gqD6LJb5oQmMVzutd6xvcMa0
3HM12MpIF44BTE9J/hQ0SQT0r6wko0D0Cq+qHWSPfVrcjEMz4tGycD6gS9ax5yamb9ha75dVcbBr
lEMca/n/x+uiN0KvsmXS73wR1giVDAmHITICoDMnHJJUo5OaqY8p0FGjVy9GzprbYkpfkGoISpwO
NUZgHbQOo0gAauUTfXdEd4ucAZr1mN+lWj5uBrzehl1ijlgQaEfOAuI9jpvT4qRnQyciw22vtRpm
QdYCxs9pJi2j8Fny9roW9MA+rGafzcO9pJvkiKGYE/aZz0A2Ws9jl7usOf3FqFrlS0HgFeuvgggd
GdfcM1HgckjWK8u8JGWagESgIwN0+QhFBKBXcpnc6DGouYLeZ3dFDnlIY/e86OeGCjgJzwXeAy+z
DYeiFzegWdp3oi6RlZsJIQm53lJumkGwAe93ZwXznVOI5WkJihgLXNluRB9qK3ucNh3c/W2lDsUW
h2DpgdBjOjeI/qmJM2czOXO8eEQMk4prRt3OhMS6SsdqYzg50Uh5+WwN0AVG0Dr2vO5bqUKzL9J6
vlejZD0QtQSmJrrvM/3OQbmCuW4a0IJBOCiDjMlMn4ychtRnlKyGTwJF/dQTaOSDwVpWacSDDi2J
BOLAeNJlEy3QxbQh7hdIP9i+3+XJfyux/nEC9V1i7VgyiM2V43vNeqcpJ5rJMpwwKc4dUh8xIWS3
xuuxaX9hlNJ/fh18ukLq1/9aBHT2kqfAFM85/q7W0u9Zla6cPH9huWxW4yzHo3O2G6ZqkznprtWj
I67AlaMXB1aqowhw6bnpdRT0N1atrg10q73brUh/QWZrcbLnFTAXHJ1qiCr5z7ruJwXMTz+5wFus
meiBEE38WCCJvC/jzk2L84i+IJzvVKLAovL48UVcOen77ySQ38FF7Cxh9A53SPCg/3gVWGDMSdJ+
OFch3STG33siLkxiWmr2jWEQYNuGJ4Vc8OsCQ97sqvvRGeUYv2KhMtTrJckJk+Rk2UeGe1uwK/Xl
QK4mwS8wStjK9YQUkTI8x0p8Qcop91znvbFyhlEIRpcboWWvaZfRRIe3sIwEQbQaNtosTjF4GJ+V
Rt/g1+0RldbWaoax6ZU1B3WGJgxrKkqbyMKHp3/lTP862bQkBPbRyc5O80J8t23Pyk7VxuSkRsyi
lqmPqJsQmkYuIxwtDh+CXsvv6pFoE1cj9TqvSNK0qm5naYiKS7Y4rUIvkdCmr1T9EusZ1saFs45m
ZMdAfe3RR6JLZV18dhRkkTaZ8XNiPmdInumMcFSvLAI2SPJAyMQmxmvm2yGUMKJBdsyhxCrXpgtm
Fa9prEefCW7dqhZQXjuLTnq5QBRv6w0+MrxpBEHnlpVhoyXY01qmQ223p48fB2jPP3keeCHxawkH
iLoUwL8tywNDKbF9iu5MDPCrQUK3v5AKeLaUul2xnr6ELd3Aoo08zZrIdGdSw4p64q7QkwDlsNPD
9tQxxaDJdxKl82SYRbRpAXNs+l4197nQGZXESHYhwzgYPc18Bx0TVp4W1z4IY+oRFiI1L0mmFfVt
mMeTp0Ut+SwjMvgOmVlR1RsrXz43iC9cNEUkz6CSbnL93tJnamfil4xOQ0fWwhyFCrVqRuuJXuJ+
DPQvoJwg9I0sA262s4rpLnCToz00Xo1Shw4oTwjNhVm/FQNTqyS6RXV8A+Nva83dk5MS6E3dqK6t
uqcWrId129Nxc2TrCfkZpA+dncNSXhWeCa9yjWfNUJ60aKj9uluMdWSDoViUieilcq2ZzVZVk71b
DGsdLQi7kW+mmJMcZzzYDU07BvRs83hYs+7OGKuzC7SqLedXzvSfa6N5LUj9Y8oI5bzw0yG9LKPp
aBfWZiQiL7JjZkYFaXBufI26NN3PzsK0aF5bWeDnFQVNaYWcS3gZB8W9xpH7LbYVZDwzqOc+gcnW
p57VRoiGQO9p1tFq8bgbdLAcku3WZrigR6ZCTfvoqGjBOtVGHO/dKlTiK0GfLYzKjZ6SPMkuHo0h
HbDseajaTR2uChdNoK9p7JpZMG46tveiySu/R7bsZ6myZSJ9WJjWIhMFl6SFo9eqLLoLyoIEcL5g
YB042i4scBGP9bFwBFVvlymXWTVWuzmzL8yQQeZ3HJLsJNJoA5qv0s2oaA61nBIyy0uMfE3AcAFW
58oSaxurOiF9+bSx5k0JBt0eHisVQWquniyBI3YKzCOWYkxOQRAcep3RfksOnmfTC9yiOfcr6oYd
yJTWny0iVgaqELskNd6mezwEjfaLre0Xb6qcdbx9U/XInWlXpj1R0nhP21MOnXYizj4YL9PmpHFi
+XhtkCyH9zvFm5VBTkl+vB5sYrTo3bksv2r2l2G6GdxjET6BjP/4QjJg/C9XAq1h4jVD3Yfn5scr
jW03gIkapvOiIZqo4qn14kC/E21Y7qNS4ZmbBgCKsboqNVU7ObUjUM+XqCgSWq8j/66H7/ob04fr
qTAYOBv9gxKXl6Vq32aUb5x6vK7VbydydvyiCzd5F78UifmoRFl1E/akR4ko6ra56GW8E5ZBbT1r
6kgWWbAtOsN+dHX3tlog3xjioje6fWzowJQRZlfuJeKwQ8O2bSvpIdULXiZF8g5RI2uPedWs4yzY
jxX29GxyVp3IX1FLCy8bw+caStWjLsMx9dYIf3FX/+JpY6N/e1MxPb39+VKLOLIG7N3ZmV6i5dPs
/B6Z8rcF3a/+/XcbB1G21MgYVs+xc1slCBqM+188Fh8/Fd+D/d5olnIrT9WUofVZ6Fexqa24TWo0
/y7f/dtvIe/C+4ec8RuiLc1CIWq9e/Qmux2j1uRbIGrQu8/dmFOT3MeT/YtfQ//xGUeBRXA6ylWN
rdalNNXeXWhOYlqnS6WfKWM+s6n5d9km8JU1bWDvcVWsHveWNxw/3aD0e5jWrwQUfeKNbnfG/uO7
qss+2/tv/Oa1/v5B39xWd4jdyg1ZRhBf+kBX1tNtv82vo427dr2M5PAt93mjeUQErqK161fD2jwX
nz/+FOJnn+Lt0ykXnzefIgvazNEhZp6fpr2+xsWwca/s1WVL5Ia/fRTeEePL1j1Hm2mH23p3ByB9
O+1Y91bLtnRXrU/rzHd95djvim17Ga1Qg4X+AzLPs+rNW7F397hDds19vrn9+KO/I7z/XkG//ejv
KmhFb+MMVgTP5QrZ0Kb9Wm2qO82vPUghfuRDw9zkF+X26vNx3e+Fx4E9uQDBeoEux2PzWVvp6kvg
PXz8qf5qT//xdbfe7Q4xQQSNbfGpor27irxlB9LmDsFFSgrDihHFqvEIQdk653qnv9BIW398ffn4
vn+q3r5H71YblhoFBxspm+pSru1xPCxKeh56tfzFpiRXlY+u827VcWIkdsOSzWdq6tUwflan3Wh9
AiBYqwjFqs3H3+rna9yfq8P7jrJCPBm2hKQ/R8wf5+CmCq///y7w7syHHhJ0X84BCrCxntAHdG3/
4yv84oex5Yv45kVT8sop7JkXrazOoOU3lf60oLP7+CK/uk/vFrdWy+Ac20l3nuSvsmSMzBPv40v8
6nu8e8B6Bog9GRzzeRwmEA/nPJ28Jb/6+CK/eLrsd6uSFYTKTHOO3QDnk+ki4Mm6S8PoPRu0bzLq
5yGMf3Hrfvq9xPdwLaQSrvnukg6osaCKu/5s5t8afGFGRJNv+/HX+unP8+Ya716aLHRbpY7M6SwS
UMzqdZ7/oqvwqwu8WxKXNJ8wQ9XDWWXRphmd4tP/+Ct83x8/evHfPcdRzNAnyHiOORusCMe4GHbp
iSOCd0E4+ZqwuF+CB6T8+sO1Rn7rN6+ORv9P6/SIPeqJxnDBqnoKufZqfCVOdT+srhYQ0mzdYp17
2sq5VlY33Vru6lfP9ZVxwamdueganOkOQef2V1yEn27kb5fc909O3IyqFvDSaZdyI1dWeCDMfaF5
q3Rr+o/F6gKH2OEb2bqwqe/nA3E7v1i9dLk8ffSjvPvdB6UFa+3O1BI+mHMfQrturdxD5t+4Z+to
bHv/GYT3qqBjuyEra+t4yi9W6F99BPvdvgcITcFnWXVn5VCuJnApq+SL2EAIO/Rfp121zo944rbK
t/DZ8KZtehn6ydePH83vB68P7oL97jlJByM324JHs9lMGzj5q1hWdfvUuxv2035PuNQKk3C+egSu
5OebamtfITP1+zW4u1X08it2yPeD2V8+z39fd/HuljiKy2yoYEmp1+bW2pIrMG2IgD7GB231Odwj
CvCcfbWjqXecPPt+7VAdQDbfppvb2JdFwn+Kg39H9zq70J8tXv+VQf3XogOzen7Nv/7v/5xfK1rA
v//J/sv//s9/8kT4O39qFHUcIBonXxvgtenKh/vPib0ObZKARGTcqo2Kn1frD6Sk8xuKQYboBC6C
AmOu/9+JvfMbVjaJpTAYttOb/Efp7EQn/vB+c2ghMMnAhmKRYIoQ4DuU7M0K2NRtbgo4NJeV1EBr
esdK4qL2qMR8ryX1Noicz+ZIQmxQ9Z/UPniJpZVNncxDK4KMsALl3qUXpor5JBYijESXI0zPupUa
xpdWnG3mwAF6ESJX1nqdxG51m07uaTTEsczLrRO6uz7RLxO1QBdkLanXhFJ6ZI207sp+0xlETlvF
gZC7yksHMzzZFsQfhUS3lVOL9azDm68VdUujZq+KkRad7jzYlXHV6tmlcLt41TcFXQ1guw+pNTOy
Aw4xC/eaGdBtOKZeAY7Nn0XC8D0rmS115texDJPTsvQVwg2uM4thuyiNjEoLPcXSdsA18HlMWuMH
GVFI5JarnaeHFT1fNHJ6NTIvpi3vM9b34kwQsZR9wq3qdzMfndy7bV+jIvZKwGcgbaeNrcI+JKe7
kcEDYUeDmh5dY2baHqLjwVCz+EJTxEVQzC5sMZU2fWofxxQKnjtat7UWW5vZaTpPKQa+hduYl9Sc
DJV6uikLzAHRimzv2CzYqeEZSANQOQQvbejcJYpDhpxi7Mw5+KqaKhYCSBBoO3K/FYyW8MPQ2TTN
XRkxNalJsL+DKExU4yT2eVFMvhlWN5qW7SYybrxIIIEPF5q0qE+DvTUOzDRVgJg0DzZxQZ7MEsUz
riHkQyJMPzdaUXhDDcGb9rJ+49Y0AheRriPhYLlWtchXOo326qi6KdGaen5KraAg71MRZOPRvBkV
J91XjvAnG2fDgKsQH7udbLsSd9OuobkU3Dqjo1xoVvQlxKK5dkgev1iqCOpz1uybOrxrVZr5aqfv
TAVbFIp/lHm9WA/EvjtDUR4Kpzm1bf6tnPBSm8t4UKfhqWpne0UGyUOv1wgoieTxhqB6GshpX9vt
cuyL6ZjnqonELbleOmfgiAboZRQnMjh4JZSHbtRoysLbTHSGEVZoXtpYX3oCuURMGgsNC1If03ZL
UM4xsxDP0y19WXC/A1i4dyd4JLkI9qFeE0wyd6TAaHW8bhImk3FUgKNLMUEq3pSF0RoN9anI3F0n
Y69GW/mCHO++VGZKLIUGBDrHL0ZcPYC995UQ7Wrj6Nrr0Ii1oinPg4kXfOwcDIjkN2gAR66t1Hzp
qkEmMH+xl/Ywi4q2HmEYBEACBRCXU1nqJ9q/20ytszVOjIMxobho6LspenTD6B+bWTy/6PZdqqzN
2TlUMemYA6CpICJSvQDsFQ82aNA0u3ZoYZNX0jxXSneTAEIlZGS5ioDTexaiXmjafh7Do1Gs3dIi
oekCiPlq07oevYdVFrkn8u33Nr10bJReb/Kr62N7GOwp3Kb58uJaQ7fp8sazYO4g7iSCMCFYeqiP
/bjs3Sr+pAvJ/tM0H36bu6ri5LbLxCcXJozfT4wJitp+QC1YeFoe8BLTsl8ZUbdG4UJF4EpzVVsg
9Dh/32j+3XFVzk9/v+MiYu2a1/9HkNrPkFDy7/6582oy9k8j90/OpEE2/7DzIpED9IxcTjoHfth5
yZHQEZdhHP99e/1TK2cT2OUIwTYpw7GBpv0TrRzCuL/svCjyMGEDU+QTWCaf7+3Zw81tKJJA6S6z
gTFh4DV1iVdm0kxY4WWCVNbK7+ckJCeLmEuH7E0/EZArR6gwUYF4WuuSO3aLQ+pMtwNhmXOAZQ50
JmNFmaS5xMuFG3cPIwdqm6hNEWPOxOmMAwE79TRh0uwtb5LxnEs2QjtHyyaTOwMblExDmCezfGQg
LaAPNSbps6IhvsZIifTeYUCaJI5nymRQt42eZ5kV2mbmvHbR//lqU92ZFkIc+uQ6Enx2zmqhZ0f2
nRmyijQEkWau5iP1mb2mbX04GJ+sPkWCzZhUaPbnOrFxmxFratWwiizbwurgeL1MPlWIQGW53Dp2
hbJ1NLA8EIlokDGsW3DdiTLetTJJdZaZqjHhquTnfMrR9agydVWk3XMsc1hzM92mBLOiiys20O4b
vxnIBHLC6kuomuwoBLpWCN95lcl4DfruqxXoy5lo0Ne4EgyLRMyEUujA6ENrDQJDu9Fbu/HNkiiq
mHIQCTuK33FMD5qoh2fHHTBI9WXTQRgdPJIVY8aidrnJZkP1SPcDjxNhfApdoCQ9AjIS2Bwyw/Kh
2ThlXFFqKLPX8TSvmjaN1gw/GhLuUU0VahsfYrWk8+eOHbjKYXkgThCvmyrVh20GZ9jKgRuMafpc
NoN+Edu2xV6V5zdto9VXkaXHewctN9FwgQHLCFyKbtVNL3f+5Ih4vwrWSjkd+2bJcJLlavBpcmLF
8Ueh1PtCV6+J99LWEXDee2wS5rANHN16UfChfDOdrCeBBCYI0tB+DRzIg15KyGVSyT4Sm0vbcGpp
9RMgZ+76SIkYHtuiflZb1nCl7s9NVIy7IOhkoTTgCDZKiOAC8j8ujbPZ6d2mhhud2GRR1pCzggC5
dZrhHyiMhZDYwS0Y1MtQLc2JfTuXANzeiEALx7e2UVRb6qf0VBJAc0ihZz64uePsCe7oV5GiBlvS
qoFEKM23SQ+UXV4lIIzn+N9w+v8chTiZ/v1ifnpt4qpsf3aE4u/9sZAjejZAiSDFgjr7e/z8n0co
9TeDqYvDUq4zWGT1/+MEZf9G2qumIXkwUSRL8v6bdVxzDE1FCIHe2dZhBf4Tl5ck/7/pkHCCYl4A
OtYQaG5MPsa7s3iC0FC3Fz26zNXFDE4RJ5KXSVMB8ggK+vCqVEZxsfS19WJFJhYlVyF1ZzVOyvjc
LHb74EZmeeu6sViYX/djuTEKu3tsjR6NHDoBm1wxDidmrDxMOrrfKSTwPdP11NMn68pxsEhi2ewH
647aTZKdXtlMTJwHN1brYCkiVELP8vhSn9EDaqm1noaAsXxzAUMVLFqLPDFsBlBp6vya1ugB6xHf
E0juFkgVh7IZuDRGSmeTFbx8isxmFD3T/rBp6M4Huyq3bswBRUVsaX5qwIAOmPI6DeKbQXuti/q2
MvSXyEmIC8JRtSENELkISeVbJyb8tRzQDzKLobSzj4PTPul0sFPiao95Ux7glPXSMu34Zks9aDbA
7PKxIthtSW+GurqvzaU6GQ3nnqVggNg4nFeaHEf1aKJKbjLi8Tqwh95UhNmxwGK12NWTYbEJtZqK
PEFtvi5tM5N4L90Rbb+jzb1V3XynpRjGbDvZYNvxTJOZP6iZTV9if4gS7gFWiZEoMkfs4oL/MocJ
sopbPhSQ1QgUvHbMyCe2+7OWRndWyTLXdQkJudTscaVcxxW4okEgrQpy2Cphbx1D2sRemaE3tqw7
syHLDuLtF6ssDgtA/2p2GPSoDgT3wsaDP5TJqgynA7nvXqeOrIVlsc1idCi62S9ep5GLUhcPiQUB
0LKQF2pTvEYDdUtu/egpI36bSHU2Zm0P594JSzQirdOtGnPfpVb+AHifuNm0R746cH40onOxsD9z
0KYKmft7mCWfgkFm90RsE4K8SbtxHul1PNlYE/VGeyVrE82W/BjqcKPMzqYOlsssjdcYuzZucMXD
Wp7NoT9mbnq1zBZ9BZd8RsTym2bCkW66abdXq/mAnxkwrUiOpV5SgSMyjhTnUSE8lEn7yDkuAUqm
NPEmHdOzqPJLw20OpmtdcRiDcDE0iPZtk2zK+sVEbBsJ/T7vMmwvpX1RDdblHANcKKyeyBjg6kNN
/y5o75zE/mQp06mx+q96kN+1nb0H7nlMhlTbq5ENhidzsVSV/A5Bkn8BTcMrtoTgNKas98m5u+TL
410fo6e6oYzQ1PxSD7QrgMKb2k0/KUrgOaWrkoKaZqvcyK+6vnSOhREd7LwrHqnjEC3P7LeKCpZL
yXqgZtgNV4FqWZ6d569jEOAdnLNrrQ2eMqWcPcMAZB4BGHed5ZgV3anXECH3eDCt/JVOysUiuOhI
1iBOzSxw91HVXVIfbE3D3IEnTTdxkBF7CButMJ1iMxPmaOqp5JdjthIRwv3OOMRaU1y3UwrIZho0
ic4vBvSySPhdtybLIHEe+7zICCzIsS6AlEAglEGKA8wAK70oS7+aTP1qms0LiLnaOeLF8vjNxWVh
09sVQ8OP09nT41IX4U1Dd+GQmORvdtyC9Zgp2U6zYW1WRGgYcCODkDhDq4t2nYK5DX8cl54rVdso
SZCu/j1zffdiy8nDB9s0KPrPP2lz8pfe7NGuiyeHLVqgMZRigD/3aO03tLqIXnXTsBC/0jv/w4qt
/YZWFSeTIOxAwtf/3KO/k3kN03aZl4EZlP7tf7BHfz9K/bddzhbNaU/Ce3Bk8m8B2/3xqFWXtdmR
nhld1X2CJ6VOR/gewr7UsMuyoIRKoCzrtCpHWkE9RxWXCBas0TQDp47y+3ckJdJ/99votDtMqkbw
SuhEgjJpLDLlwJdugwstSmZtHYL0Dq/g9NJuWNVmVNE1QefZT7S2FkyaWesGmHTtwkajP8wW2Zy8
Va5D32XubWYbTVxHO8x16MizRHC0mQhz2dUgq8AY5LBSrXrMmktwDD0Bf3ia7TXNsBJfrkMw2dL1
ylcRk2z176P//dHH8vbBo38bf22an9Sn8m/98exLDAFdeoS3DryX95GW1IeUrqiBTP2HRoP7G6cs
MmgNgTTfEC7/4B+mPOpdV9OlXle25uVg4B88/Jj/3heoFLlI7mwqVNx5vFI/Pv2LEeWRXsbqpeGg
ow7yJVlb2ksZflFdnskgBiZWHGMHzkY8uvpxrPjzRrcvLa24JPpogxHnJuv7F3DEHr5q2llp9FQ0
YltX9g2Un1PFuo/h61mzTCxAU0eRlR46YbcszwJvT9jfk6B9R4+fB9ZVM6+utc5X4+qZcBeAo/pB
4IHNtfp1AWqmJcuTboIkyacOHnOxRmlge+kS79oeGF9SLE9aaO/GiNBXxLVXkx2RrlHcL055dJP6
iZELCBuhf1NAf3KKfcCrgnmqFxugb5vFXq5iF9Ay32xbuUnvwRdG9dzRHQnAvtrBCJ8KVgk1C7uV
ubVrZdO0gwPc2XmoR+jcFemBe8ohjYaJeUjgAyEcUHZUWbhvEOTtemXeliaqJ8qfsbJuxqq/oUfb
3Gdifs2qChFuDZwnUh/VXEBsKnOvUqdTmFZiNYa4/0RS7DoYQ97U9wfTbPeWi8SnDsTFrH1psTqH
QX8/O2JEPc+sBhg2Xj305FltnDLb/GrYrDqu0O6tJWCYrZqDp5jBpmvJaJjHgTSead4l7bxFl7yu
hvjYt9yzMMxMf5wBojSrNKFyOrP8adE6sJNy24kYYGFXxuipzUrt9qXjhOvOdmd8NV1CgnepNliQ
voMV2u+QhWyox33SCb0DVCoxDNN3JENOMxfPE/VxGNUkYZnuKe/rGuG48bmQaAdFQh4MaFkrXYIf
kEb7IyQIzHSm56b1N0dCImYcbWhXYbhIgEQocLosVIu2YZ+VSHe8Tq/4N1SAy0r0lE3mcyGBFMM0
3FYSUeFKWIVZiy8J9Aq4uV+XrplXA1yLkJkd8lDjRK+BbMxWPzQSgpFIHAaTsisOYajR3XRnRs2z
k4puQzBlthbQNMDDoEQ3iSzBHP2ldXSZHDtSIeXAswsJ5FAlmiMLSdV+zga/gNlRTMkXE4yHAOeh
FwAQ0+VAAPU2KavrwQDQDhj6vjIRTVtMEDLQIGyoDT5U6zEgNnYr+BMHnXa41NdUb95sKu1xbJ8L
Ieimz0p5UGx7kTEttKVVOyV/ncoZzwHMrQhnVjNRost9L4nqm34uw30aRYfFKs5LU11Aj/xGYg3x
j3TTCJWf04ZCgUri3za2tC19VFIV3VfCv35SVb1tYZNCIO1UQPoA2Uh39tuqivaxYVPtW+L3HOU/
Wh+EJROFIOe65tuaChs4mT2uLRVIuiXwif+TbQVYzvttBY8XtjJ6KbxHGsXaj9tKXmVmOdPcPufG
MmwqkIF0HO1nm2WhtPtHvbPu0+Ua1txWr7W1Xjtw68N7omhTb5Zn3cpM/bqYTxyqQuWzMab3OT41
9NdNssXc/MnqAMPNY7iHCrZTw4Jc9b7cCK0J4HUnlqer2gsTz+qT1gGENhjFrkmFDzYLmLcxbqwd
FOyLYgQXkhjRYy7KI/PT50XpcKk6jTfG9eucpNduZLw2lvY0DRDqrW46dZCVvTlKOafUyaHvMfmS
xjk80o99ibsqPhQV3ghtFFRbVXKf9tkLnr2F1FyEF6BU2C/hmdX6Cx3WswtMEevALZnOKUL22iUq
h8HqfR/Fz7RQd6NaPraNEl7YrFdua3p5MZw1MIKUt+dpjs/yNF/POKMoGr+UnNfCjl20tsazKw+u
ZazvTShcbMDRXGIPvZXJNzYJt+kzScj1io+4lTkCK1oCPuQPDDcCQnKa6M59YBLpKtp2N1iu9Ezg
wQqUI2LFcVd29gA3ol+PZXIDp/loqeUCWD9SvCHLdnWZfWmUaPQ7veVADh+1sZbIE0N/xXx4pyYs
vGqAJzIqjK9dHJsXWcH1MnDngsgK124+qcscE/llHTFy+mWbvE5WALW/Z7Ldxbg+3HNemb6VwMEp
5wRnO6UBQUrwyDGGmBOhiiq1RSGPxOFSTh7TZm2VpeRxZXaLuyBmKBrb7LVzDAKky5crt7NfRaXA
5Y67DTueF6icI3XylEcbk6pNwrZF0vYsPSZQ424KGcId8cuBEbwXAABqGdOtUtUda0XbZ055qkjy
Hkj0jkj2rmTEtybDvhcZ+13KAPC5IQqcvXTPjLb0BxIkiTWo2LAJDo9JEIdnYCBrmHa5DBfH749F
draIyS73ho7bh07TN36PQ0kkrEn0dEo3D3ed6uUR5L6BjMWZGNkEWz8Mg0NHvGwpc2YXAmeDtjvi
udrrMok2w9GPOetT0oZ7Nwq3lsystUiGGgmxrXrlPibUVi3Ki57wo9Ky9qkaXtJ4eCna7N5KASxm
y3g0icc1+vLUD+TlVul0neXDdgoIrCDEoCBYt3LLvUbQrphNDizRRWiq+N1n41ARtTYSzavKjN4e
eEAArXi06eG35rKJifOFupnTSrAvGoJ+RVwdSDHeodrv+YZ5v08IBTYJBw4r+xI40edWpgY7oX7b
lu1jCB0lmJJTT7xwFM43BdZmBIrRY5pFAMHjx5BAYhGW5IfEDmHSxdaSmcWx3Z0MmWKM2ObaJNaY
yvE6lznHoVp7EcHHg6s+qTIJ2VGzzHcJRwYOwBgEKj1xgkx+l/yJw9vO7uFCEqysT4vi9UQtG5n1
sjiMfxSofUQxZ0QyF02/a2VEc4uCNia0eaFvE6syxtn+HumsIzvysu9Bz47MfJ4n0p8VkxzoxsoO
btgfaYrtJ5kUrTDniKLo0iRCOpBZ0kkZnqhG83XsEjMNT2+lNBmeTXdbl+65kYnUDmblvCajOhba
A2KcI6PGR+P/2Duz3biNaGu/ynkBBkUWx9sme5RarVmWbwhLljjPM5/+/+jEjiw79p+DcxkEAWI4
Ensgq3btvda3iKlGYXgzL18hffankpjrAtSxJPZaDZSHkRhsqaoXIhm90LSKdU1QtrYkZkdLdrZO
iHa1pGnXqrHJl3ztys4+lpRPk5O1qzaqdwlR3AnoUq8x1XvLJE8DME5IaLcBSKena+xq+i1ab/LN
5qc4tW7mJe07N8j9FgSAl1l+VJZEcB8tgU5EuFqaW4vIcH3JDo9bsi+HmjxxWGM8y8FLsiSNWzj6
zibCx5kQEJut4gAl+YRaHrMqN0VJ79ym+R2IXUOMeTNENxWx5hPx5j4x5wgMAoL87Ht82eC4ittg
Sh/aKkTrp18mSeLhZHK12AS2CL7B0IvTQKZ6JAhXt81+pxDF1s42qDHzak7VXU0aO3Chk7LEswON
uOo77SZZqKJCJfvFrodk1auQEKV5bBCLm2vi7cl875b4d+NLErxvWmdazlEts4mJD7HNZhUwKA5t
PJ0zOSoWDN2atzRN5a4ep60V5A6eaAPGbNvn61mJSE2ErQ0LnHZq32VPYHJJRsnjDTuMgZte4hoH
KjAyDwDJuoNgG5Eb0bLF9E5/iFPq90qZXvO62eMFTFcJ0FRXxrW6MqPRXhtp+tAXgeaJyaw9K6R9
iMfTUgjZMDOsnMH5oLblKefk9yFWLRrixlwrm84ejKtmyOdDas8IYYZUt1FTkge2LgfcWLOqnA+y
PhCteKnZyUYf4zWQxfus8q8DgA1dpQUrpniultpYDtXqgz8YsWsFw7pWGWn3yUgOCY1S2bZPPac9
NbEfdV8e+2Fik4ElgesTpAwanuYWI/3k2Vb4iZX1Xsh65w/hSRjjix/LMyApBhG80ZobqWAgKD+U
s3EGm/tIYrJ0TSvzYjqoSpkdyAZcLOid7Zm1j7TNwAFZXLdNApkqm/dlYJ4bY7RTa1Jdk3IPQmRl
FCIBAMWo3IzllTNkNy1JRX0xkRqZ57ccI3Lic5IzEQ17IZQj7HyXUmirjdW+9QGKJOE+sKozEC4P
pi5JdVAPtWSnlTaxtOWzH8/rOAmuRp9KAcHOevbDdc10xKjal4woHgUpFpI5Iue7s85Jn00pgLQ5
+b4Q0XVN4BNDYhAp8bSSmbkLR8AiixagJX7CJWN5NVmg1Rnv+D2DHx+lT+c0mzZGLNdpH3qbkVWs
jhtDKVxJ95bSooK+AoJ6SpMPKfL7QCXHZai1tZPQKoOORfplfO84/lba86Xo8fglrXo7DepGxuVD
Qei2JzOgsUofffbronfHeOjWbSgvIPFc+IH8OArEXFFcLnN2MHDRHp2eswkCwqqT+aWcjIu2VHnH
Q9qSYsXNEhSDgWHUQrI7leran0z7VKjFIdeBfaZ018JWXKU6BGqoyq4SyE3DYHjlGyGTp0bAEpzM
R2OIpxuHlcZLwKKOo915ylA8jMZ8VSrmo6bF/qaMqg8C6cdKmN0maXoivRrete2rO2dZeiobG1QB
+jWogf8aZXIs4eQmgULcEEE8pRoAnTNxOlZ19koPvqFEJKqKqdErPhBP7XFZR2O5hRi4HywNR33b
ETC87NqG/mFc7O+xAK9Sjw5E4km/UJPogvmJC/uCDPtwbs5LvzYZIkrMi2lwGMDrOk36SM9G3y2P
O+nKpIIDHdyAEJGPdshkqdSv1GGMzh1JQ0Ut90EpbrWAiqYwAMIOBEuJwhNZcl4FYttZOqdYI3sl
XwuuANqSQNq3SVscojY+S3qschyd143WfpjU6toZ0aHkpXURq8FFxliONsd0xuH5vkqdR32U1zbr
8Jkh43zdBSY+5VZ/nDNn72AbdWMR5du85xcrlbop1IjZHqTxHfFMUAbzkt0x0DMhb0Y11jhG1LWi
Q7WddC12E2kqa02NfOh1b058l3/2n99mrXOwezM4XlxmNATRI2JopfttLrD5twIgLRJi1LQ8OsVl
ifng2MDpdPSbX1/ke33v14ugQDZRQqE2Wk5xb/S9iU+kutI0EVyRvZIfBV2VBZw03P76Mt/3GP+6
jLV45mi2WzBAv7+ML4TDKUBQuGuvQ3GnyH9tRV3IXyrAfFSoqvH+s2qcCeK6maWnfOBG29k+Pdtv
p++ffBc/ef0EN2p8QnxQBjad719/YBFfLo0qO9mcO4xLw/mNfeZHownf9ZvP5913rZuJGiospQRA
bJXMTZhywghjQvqSxt6v38pPLrVoysg6hK8FieXdV5HagZiHuUhOmONJI2tBcdPb0wHGuvisf32t
5WX/PVj58rV/97Ust/ibu0uoUdZbZpqeSuk6NLE4d7Uea+rUb359oZ+9qbff/7s3lVuxU3T2nxcC
5ZOT/hpu2EeWrbj8zb32k+fSYlQksPFK4MHv7bPSIAaAjTc/NXLjp5/6kebe86/fzs9utzeXeH+7
zbTFi8AQ+Sm3P8X+o678L25nB8gMvUAAccaX3s2b7yWuUlLeCCA8wfNn8MYg+X+xeNkAk4D8SR4b
QmS//+ZzJae+B3h2mq1Pg3XRETMj2t+sXT/70rmJGQ/qzC5UR/3+Gk6YlTmIi+xUU/hNLuN81bjq
wZOU3ix/cyf/5FrEcGggsqBGq/Sfvr8WqTE02WIjP4XLmXpNmnNI/Hq1Kqixrr98+f+1PAUf2rdF
9wevjPuJZ+Wl/hnUe/nBt9M0AqMcIlEkzU2dL/3bJFkwLzYQ3zpUdyodzG+TZLmEqSxNUpOkKXRi
bw0z1h88xEh96ZbSraTl/2/anmSQcyP8veQtci88OY7JlQQTPeS7398oeWBDTu7t4iRwtezKwN8i
tIftSN56Z/WTO3Racz52WrGVYpZbZ+wu4VDM+C6yp1pHw9IozS6dQmPtSLBlwWBSjOk4ReheMP1V
Bo0y04YzUi2UvWHMLqvAeQg5Lbk9slx3FPOZ7cvz2tB3CEgMj8yJbTWVDz4yHhcQ25EQPsKIiqTf
QZk5BFkM/09HgmaT8BHo1tHU9LvAQH7ZRjZHDWYCeR1dtaL+pBkEbtpGcN8TULkaohA7+0gjMOnn
o5lbD6OfNC51xgcnLR5MiB1Oop4PVnqrGNmxtYfSrYfwLq8JAFDUbEdcwZk169dIvjb0Eh41wD9B
FWxaUYHzqMvz0io+4I+6YEJJPp4xbvvRYL5t6p/a1MZ3OcKSVqx2DXCQsNmRHoysx2X2U01rlG8d
EGsi9tDfnOphRO9JYl8RciYYh+5iSBloBvOgbtH8bmKzuh4TCHhYVHJX0eZL6ZvPWlveJt20GWyV
ZMcgvxx1rDRhto80mhe+1VyanXUXVj7IEn36YC4xqkuQCUx1HWVNHiHWI+DEyzVr29bzVT3mFsfe
9DCqZIDMWQWXBIZRWMNaSDVSQAvnhItaA1lq7UY7uKkuqLfNDtYieBxzQvWt2WITWejZdPwcUcus
tpVtv607+wPCMHi8Va6t0iLakl+Wr5KseE4ss/DilhQp+uwQzyxvEgGe1GkXkfNCkFf8VNfyBVIY
xiYSeIJKvwjMYD/2cHsm0WdrMnT0ewkqncM7LUXLX1DS1SEzzH1qqEcDTmptB8lGTSM0x+MIRyPA
SmV3S95VbnTteugXTdvw2ZmTYQk/pHUp6mo7V/AWrbY6MM7V3Eovd45JjkKhAa4ESYWqT7d3mhLA
zqvHT4mj00Th1NtkawE0iSSxeOl0PRSSRI6wavubSlcrWlwBmYhWR7iiH1quOnfquk3hhkkjvXY4
f5qaLwnSDfdEG577faOusgT4EihSngsLPTIRlhwjK2CNFOhio6TE1gsiK84mMnt9JXyWwaBftX52
bS8IdzCV9b5seC9hO6Cem7t1o3NqodAiCpcnBTTy4vkoL33LOA8zIbxS4MM2Yz7A3PzYtuqhKa4i
nfF4XduINjN/P5rFxcjQYtW3w8HRis96A+6/muJPmZ6VsIsaZnWjkngwvonCMchaZV4ZeOGsbCUR
N/NHAio/9zXRSxCkBnasanIrn9ugz/xP0zwzeJ+qoz8zp86lcjNycsspQldTFd4rQfLCOVtbaeQy
rssFkOYQdgdKYIlcQQOeprdV7r86fYHKceS+k6m1RWMYrHU4/vjv5nbVB1V+rmijcVTz7FaJsuqC
IQp4JWCwa8uZfahqPf1QH6tOUMOJCIf+2NeJjVYAj1/qRDdhzd1s6IG656AbclDnGx99xvXJNF8V
fmmu1FmqEGp7jNiTci2Z5yMc4MEK58rn7I+YMU8Sf0N/PfaKqtV3S+JprwMOn/hdnayuoAGfpUVz
I3wBDTcqmFf3Bx8px1rO80iUaIEzCUeEWn9IHKMZ1iaQ+9htumX408eIKXH/apto8HOviqMGKX8Q
6n+eD/6rCZbC8J9rguNL/fzy+SdDUH7qbUGwWF3fpEV+KwjUPzTS2HQHuPUSAcLx5OsQ1PoD3g+h
lA61wl/xk1/lNeYfVAMSbRmlK483ypt/I6/RlqPH9wWBbrFlIjBDALfI374vCKSi0dmskuSkCr2t
D1hOSeiJaGEqD3aRWMM6M1EkY16JqyuVzbbTiFQleALfuPDjbZ4vD4ZGLrZ9H04jBtGov2XcWmM0
TAvyuYN4RA+ZQydBYuRmjX+akgWwGWftrtRIEI6G7LpIptOopD2jNe2TT8aJa9TJWSnmy9wcUZv5
9f2o5FsCukA924Q4iuGziXynlAW/QM7lLhiNTU8zZqc3zlUbxK99QTcui7NldChM2rFtcucH2SX5
CjwTYiIje1RPduFfDRmORbjNYhcgOFmNtc1EccmQTPBtmNqjjt1oNRTYP3icUqyQUPYcQ493pczS
tVNbJIUXvoljLvzQJVXr5bS8tkGCfnNelJxy0XR2X+Sdw6L0BLcdCKIbFgGotmhBx0UVinsGdv+i
FG0WzahY1KNWi47UXBSlxaItbRaVabToTQMV5SlWlQOR99pluKhS80WfalZWu60XzWr4Rb7aL0pW
DUmrv2hbMWGBQAhrGKGL8rX9IoKNFz0sBiF5Zpf1go51JpycaOer6KBb+IX3+DiVZKMtbf7JStQn
tZK618EQs6o4PobUKZ1vx14LQjHMMXEB4tsII2Mm5YD8HZf4LVknL2nRPVRNcl4IEXiZRUBkmyQu
p6cjwqYjIwNupIyg6zK9Jnf+UGr1o6Yk5/GAnKnSslsZhEyjFj93WV1qgXVBiALJomFrJZdGPDGR
kmy0Mf2PMJ6PNGFwfhFUkpQM26Xe+/tkCvddtkCn/SJnV9TsdTYHz/M4ICsjdmBVOkuc16LRNpyc
BOPaeKYWYOKti8QdNTB6MhzXHeIvbDh3wUha6dTmhkcyDrPSibYkAS8XrTlkRLUbxU6BFbmiUbke
I/7PmN8bqs7aIsjLTQSVYmo4gA5mDEdTGPWeGMWFZQxinZBChgg4IS2KaGbmEziMjVSD09YoYK21
j+YIONyfipvBYgdwpsFx/byxcDjT1Yxgz1H8g6CyrJfMDz4zqlkGI6nbxqA+YiW+7MCZcw9oa1V0
lts1E9xBFe9oXgzOxubWF6oeeLmo28DzGWfRpg6KeSCLirr8kDdtcfvfmfKLPHOhlf7z/nGCiBm8
/GT/4Ke+7h+q9YeO/5PfRofvz7ynr/uHCkwBHyiJCSbGTv2tD1T+gUzGRJcMNxWJywI0/Lp/yD84
YZr8y69djEfav9k/WLnf7R+IQxf9p0OLFIW0ar87UFYkIEWDJXyeYsR2ck4TB8Ww458pYyXOcqsh
I0cRUwebOzxE/vRoB2Rfllb8LHtD5YhoDBY+DGbx60oCHxVlVa5HAPEYMcywuMfdg81SdUQDppPB
xkqJIxM7XgluVE/96KUlKoY0wdwIaeBhEc+ZPOXM0zdhF8UVpXWjLdg4vd9UdeyYh8kids7BXN34
HemiSVTCO4sh+rLy16+KHYzYLAEcG5HPoFdzPgP2ZDy5BAMpEhJASkbwCqbrhHAkOKRMRsu5ACch
YC4MV6qcwTU7O7C15xTZe6iX+5Huu2uYUL+ZBxp4g/vO0xo9PEdstxWlchlDl7wuffuMpKzYNQM7
dyEiqec5xZ2rKUOynkw0inWpkDFVdaexbU5KAqxxQKKAiFJdzwU1dBggIl9ht1dKNsWpfk1kexOl
4gbERwaVNm3zS6Ui/07qZKEijQ1KM/xQRL1rtbZLkld27HW8JbIIX7Hzc5orGYtpBSh/UkadSWY3
imkMm9JmCmeBOPZqXPJ5xdstU4KvNGxG/myZnqbm4akPsFdFJXYpaTBLG5Xi2iS7waHmJd8IArED
Ub3UIGtEypE6edObBFlMXanfNbhrMZYg7Z2AkNOoiBA9ZchJZ2IYS6t8JF9rYdsrjMRIYSKLp4GL
vn3zKP6kp/5DH5UHjga0CS6CTiEd6e8Lo1iEgwABH19ogJo3Mh20T+HE5zTgK/mLZPpf/bxQYf55
/VsMlPmPy9/yQ1+XP037A20eXVTU6SxWy199Xf40SZqMpGhl9aFNLPirr+XzksMukIrrtoBl+SU/
7+vyRz9NXRyPsGLMBWP+r6wZdOfeLX+8MAp0BEf68ir4hd/fJXQBkPMqnKTJTrmvZNq6Kb33BQlN
hsucbezK3KqE8BoT0rPRuSd6C/5MxxqVOeZtbOtHWbT7LI7XVW/7jWdZWe6so8WLnC6u5AJ7cqDk
9b4dogAZLvEHTxrxCrSLVIaYZ6B8M5K4FoWJmZJiQp5GtM66uLsSeSkJtDNvhgS5i91PJ0KTyYjK
pVeGM264sbidJuW+MPI7WRjdSmhUt6Ie9qYyka9qHyhQKRcJsaNdbSSUDEEsrstYu3Rs5V7rm5xW
H8dbv02OfVknHJXz16kmQjIEi+zrVuBpNbEohjaeCLf5VKUxebm97LypCD8TwzB7rfAbUHz2OhAt
AskiVDf0gyzsfYo+7YexUFxIzWdqZ50k4oJORdtLxQJbxXL7LMQRqvVndV8+hMJ5VHQiNuxUYudu
1mBs75Nonld1PN+1TPb7Ti3RCnGeKYtXxJce6TPXTlf2K87H52WQ7dVsuk8anHRF/0qsF4n2ygSt
GroeNIK+R3HMBFqmya5qWGBlaLrKhMDb10THkDu08aiWkztPVeLSFCHigeZD69C5KRjgrjK8B2t4
3TMbFOmnzFOfSTA55FKdtkA/BNW96ua2tieZaNd19clP69yVpPodw6quGLGaZpchZIdDvzLSbC/b
2m0a40gZT/ev4FRAFuBGx92e4LNleq/gGhiJhBs/MVFOVvxODJq4BQqCsIYQd18olU+iZp2ve4Qy
KnQdtXFeOJ7ZR4YnZKaIpttoXWiSWS13ZZzXN5xd9AutRdOnagE6MosM6hllWNgjKWjMVF+nvYXP
MVO3yM5b+nmVedFF9tZS9D3E9nsOyjvRafdD3wLbCRvhwT1WL2SpxedlXuBmYjkGocNxx+9jhSZq
rFO+K/52YuZ1UY5Su4qAk++ipCdMErb2EByyhBTKsdI+0UNHuJBP0QlryoCHQActlG26tkHbSN6a
awz509QwX++jD0WgrHAaJesg5PuMcSuedMTz0Zj9u53EEAx9pWEwwkbW7NiLmfvtmLGUY5+kiqOe
0uwu0T8bhjdk+zfr5u83q+USNPNNpMyskeJPWsebidlUBmNDXaSfkuapSy6n8jb/awb83x6lUtL+
8x51FuVB85M9ih/6ukfh8F+2KERLqrnsQ/zVtz0Khz9HTb4YqvFFs/5tizL/AOpMgcH+AdQZdfzf
FfoXpTu3yjL6tEwkfv+mQv+Sl/Fdg4dOEbsnTkSdsl/oyw725tZQfbmAuyzjgtarrO80h1o7d/Mp
U70wVDp0qHGjRcfGTtCEFeZYbcWQXgmFkbiQaUZ28NhiQ6fEZ3Rhmw2N1qKmj2D1pJN3RkMidoN9
kEC/gd54WszJVZElDyVtHVMNP44DiVccIi4mE7WgnhsR/ipOrUEVPkHCJ85T5BqCGyekmw/yqe22
Th4nbqYhBRpkcxOq/ofSycvwrBDxPHlpmAXjPQLExs2ibt72tIrKgsayBRK16DiRH3VlMncTQvpo
UdTDcxvoyKOy9xe9PfEfH4NFgd+ame+qZb6hrzK4BTL9KlZ2UURxOyLgR0EXb9NF0z/r2V2EyF87
MtA9Fgj/x8UBQKJp4vqpf6tiDsjIYHAwC8TzlYp1YOibB4xnaz2vK+fPSIz/HkTJwvjPDyI5g/+z
4cD8HDXPxY8P5PLDXx9IikaASZyX4QPy/LwrGsEV0uxcTsAITThpfy0aYW5o+Hl5UL791N9FIy5H
ZqcYRb4Mb//VEJYn+/uOK5dnIzH4ZylRmeh+90AaqRB27NfzaW4fKttfdQwj3nwwP9kNlt/w9yNv
f9lwhI2UnxGvxiWWV/DmkYezZpZjKdVTQxGA8YmagTTaz32/+/V1vn8nP17nXfFbKGpZ1eixT8Zi
E66ZpX7+9QWWBfKX72RR8Lx5J4HKvJAcH/Wkjdaq1+8sAl7RzTjKyel6VN7CbfrHstt10WULiUKN
XuIQjeSlVly1OYDEkly0M9MIIOcR+6dfdfHNkIXeCCLj16/0HUflx8+CG+vtK5WR4rdDvXwWcu3P
qI3Lh65nEqnqpwHlM7SDVTS9WgoZ2vynbUbur18A5MwfPyoVwpcpKAYMjqzfv4CcvkrbC2s6MTYF
q6E6dXqeIH4hb7BE5+46GFhxItj2oR4bICjDtZoOJkm1BUZuocxubVR4FstOICkOllC1lsDiNANp
Ig+DLxq61Uqs3o0yi7cycWKorDA3co4uNTllJQNNJNobtZ28vp224XyCgLXOAgwwlbLqzHmLXvMy
0y6RIm58ZOs+I8jmFo7jUbbpqk5Mr+dgrXFYophyLZKGprj0EuO2WA5TJlmvcwUTa1I5B3TnlsjW
S7RK9aGJsV4oclUN+Zna6lc0pWNquB4d1F1mpKsSjtK6cG5b3fTor6/iHgSoEQU6CrbK9oRNbm2R
pI+0TRg302JwyNjykuCvIdk/Jjl8kUX9/Viivfj+wX9/Vhwiugnt2MwnsZU7fz+ftw9yi9D+RKjO
ebsjHGhte45LNifM6AOtaG98VPbJpt2KrXmMNvFvspWWh+fv1/PjLfuuMtDTtLOy5ZYtkj0HBCIu
ayiZm0r8Zjn62Z35djl6t+Ah3JjTMOQ6Cj3v2/FzFbhR5+KSNf3fPARfaEXv39Lbh+BdN9Lh/dfS
ibRTKN34EtNHN4JkXQ3NOnbc4DT87q39bAWkOysXtZ0DBeLdCkgEyMhIXmqnAfpjPj/1yuWvH+uf
LYBvL/DusxN5ZOV9oGmnpvc6gq4GxQVe8psv6HcXebfKOqNjzkgntJPTn83VoTVvNfPjr9/Hz7ak
t+/j3fI4sVfTLDS005KPNaIbEOa1E1842Hq/XOj/ujo6RsRxNcVr+8Xr+1yUUx0FYfun9ffbH5tv
VuBFD/bdH9ZfOMpX3Us9Xb80SJG+TmGX//P/9y//Yi/fTiU05k+fsyj3oqato+dW+7HCWZSc/1we
Xaafnl/qn//Ut7pIgHqgU/WX6XapPL4dVMCc2DqIWeRJBgJlvp+vdRE8B5UDDBZezsuovfmpr3WR
DVMSNARcBm0ZYDOB+PopXP75VPIB/vP6+C7qbVkgLYOnF7gwNxuqyXdPb4+5X291azi1nJhdvU0e
in66toq+X6dOcAKxED/Trs7ZBOStbGXs9lKBkWsNr0ooNnQK9dUsFXwpNob8PMU+ZOETAmrwVAfA
fceUKFXsLde6kwZb4RT+duj9o52ltLJK66mT0Y3Zzw8h2lAsOW3Hdqi7YxFmu8QqD3JhTGdWiFTH
yTfABG+4lje0KrD0oSOXrJsIUbIxTvqzeWwT5w61Nja7JPgcN/ZRx4Ug9PEUBs2usNRyhfrrSguF
2OhkhqCiW9z5WNRsqZkrS6NLk5HC6oPQnOfKlcBf9pz+I0Yf6k4NGVU6LY2uBLfcumP4uJaJvzWT
L/l3GQOIUr8lepaZreN1Uq7JjmTozGTRjbJpP6u0Vdo8BBIh5nvD+QzHiyzjcWEFH6y+/dCJOXLL
uBkxNxAc3U3s1mZPVqExTi+9KPa9am0sqVjMGsP7QGVgQlcQ/x+mGIwcJOotbGDrNETWxUI3Dor6
vlCMJwzJZwwRcfyQmSwtt2rUfecnV9qEeTQwzGubT8iPLCLni3ozpOlFrTvXZiSeknFGGyMcdQXC
ZzHhDneZpj/GSN6ZU9Bq63N9U3Zqs3JG6wyO0y3CqNw1Z3Ef9XFKoROfzdKH5VFf4Bk9C+qEGWma
voBq+Dj2ym0pMRWG43XrmBthKh86JX5OEdWuDCLt3LqEjjUvtjciUl+taboRHRieauE/pMn5QHgj
8yXP11+x6619jbczdPMGjWDjEQ98U3AcNWMbEnJgbeeYXMg6Lz7K3HyUoKU4j4+f9G7g/lKxq2YB
gom+Lc7VPv3sc0c6tcyAWRVbNTUPnTntCrP93Cv6QoySt+SQbQPGKCt4GZfEgrU08/rRgxwcroi9
iT0l7CCASBuVs5Pcxy0f0pwr8coIG/BYmXbdmuXaKbPdJLLaWTdtXh78YAgutK64H5vHtNqjFJSP
xJJhZ0YpEQZMZ+ZWv0O2FV5NQ+3s/QQLbGE145ZhO3PvbtBRjajkS3QhBjWlfMU53joY6aoWxUHo
x9O6zZJqvuuNYulp9qMNBCTwE/0m9yXWZyxK95EeF2td7W5o9NMSnHQa2PBNnQE7uB0zDsud7VQO
jadw1vOowNMDJh9rnfX+4sGTj0VvxOt55nFLQ27pfGhpfMJzjlDsuKi+vMB2xhu7RJhZYEkdw/nz
MseKqsD26AVsxNARC54xYhvxzeemHXqJHWDgsS5GXSf/MXJnYT9ERg7K1fDJusa02xLAZkuOXrQr
xuIyjbpN2SutOysNZmg850rfHvQwDy5S+BiJbt7w6arbytEvmri+HKvuzkkIf5cIWgN/eGpM/b4o
5IdMWOg5fJKcUskRoyL5HIPwvRHiHi1mANH4IC8Gv3co5uTgJmF6LgZQhWiN3BEv2apqDUjUZrnS
KmVdy+R1mqu7Mrbuyyo6MiR9qhvSzkUGPqd1DmZXCGR7IXLEasAk18LkFr76JMb4mjzac768auXE
KAPaxLrL+p707JQDB3GI4RoXmGfOiu4hf0IZnFRe0fIwTTx6qGovmlDbNwFt9SgEjN2xCmjqQajW
GVqU88RIaxfBFLCDwQzpBGcOisgMGY2F0kQn/nvtJ+2LEs7waJ2KbMjOiWCqiYvcd4gsS7tpp+Eh
nAP/kzJl52Ey3ymT1FDhTs8K09abCVEPcl9M340ONn5ylhDU6hmJKWKHGkh9AZMnss2zsCyfo9lq
3UAT2S0U9Z2Sa3eW1mWuX/JtpJa/mTrEp7bPqNIc9lZW+p5vdjTM2R3K9tnRBsDiWcq9hl2XEWgq
AgCWtVjQLww38zWj/WbT+G3jfNQyWH3/NYz+xLOqVCn/XBEdP31Gr/9jRbT81NeKiNYtxctiz9AQ
4dGReVMRiT8MDGHsvQtRW4Oz+q0iAqW9NPJtHX09vdXF2fG1IkKdR5PVpn5BwPdFePGuAvpVRUQ5
8N0RjYrIJnkAbbPUqMkYQvMi3nYVSBGYGq1Vg5MPXtKaMuARzaIcmuoLDs0PZaKsyhE8zxxNB8uf
mMZnEHqKjoRhlY2tr+BDGW4oh8YtrPRsLBx/NTvxMQ974ZHefpVH7O5tgWuZKugetPSC6nCcNcie
Z7UDF9za3UVLckSv9o9mmr2qccJED5M65fRH00k9pR+C+1rrBIL55CzIBt+1fKP3eNnFpuuiiyJS
qAdU7REaLBrUSB9XjdQbbyDbeTO2/ms/NC8yNczVjGNnbRdx6WY1O2YSXo1BThrlcA/uP0U6EJBE
YETA7siTMEzF8LoFB1Q6IWoOq3iyjfg5tGokYMKkJOMtdtCm102pXlILYHAOjkU5n8XUkNu4NgSc
PA3tWHwpcsmSHzG9Hex2dFNTt7fQwJgNNsOz38SQhtQuIpLcTgG0MBpMRXxL+XZJA5owV9FChEZi
fD5kzk2TgfTP1KsmH+pNnOqZpzjzWZg6h7Adz5hxCtci0nGlt/0+UNF9B4UFHmmhmBadoWwUSEue
E4r5rkmKfOcwml13aJJdzNHywDg83jjJ+Fnpp+kQ9KHqihxBXZPF9lYSFrEuA3luVuq+0u2Slcn3
ryZlEWlWrbOZAiFWTspqCkXEdPMuD68KU0G/TgJRZMH2rj5Oopy3TcD+kpbhYtu1Iq8s9Y1FK3uv
+/1ESjEwrqCaUaPnmLOC7LnF7OSqFlVbCvFhnebj6I2Z/zG1mCYHdXmMCPX2+KWTp9k0MiKyN8Tc
ryNfbdd9bjYHTauuE98KPUujcolHFHDAVIwLAWJkV2tT5gbd/NzVQq7KpgMSD7WKTSV3mDov08BY
I99pso9WpjuePZovddlDe3DUC3Z85qgttzKazdELelJdymCyXVUxb/JQfuwtDLQRRdiqsa101zYj
nJdguFEmv9n74fRs6UsxlzH/SIKchlHXcxs71qUvwPVWeqrvlMx4dGLtSSQFk04QctrYHJWMhhLm
GgriAYZ3WD1NDj4wa7AqC7mmY16JiRLqsGjEMVNz80brsZ4Y5g4vOGwexoBnXkvsAghqh8yHqJWJ
Q8+lNWSPQM1JmLQjpu8Nx5TKmO7HABaj6Q/kAlMJ2gM7GunHk5skBUrebtgOKZOaCOmjXyNqVAG/
n9VVD40HtiTq3Px2LvxTbZbn3YgZsivy16itbjSJEUGzz3qbaHUsyPMcbrUkO4RKeBQxvjnwNsFK
h9O6z2r9WhRm76n83k01qme2JMPYCqt9YQXa2kx44U6wawb9TCji1Wytzf9j702W4zbaKO17+fdw
YB4WvfhrruI8iCK5QZAUCSCBRAJIzFffD2RJn+TPdoe7e9MR3tkhUUWyCpnvcM5zINIvRxMTuFhO
J2a7L7aJQqK2lmCcsUVzOPX+KeOeD8dkBCktgrb9XMLhV7sxrXAmpUaj7pyh0w9qHIenMbarfOWb
um8ODlrI5yRX3qnVVZFcF5jBw2NbG+5znGCzuBBelu8lrN4NirXPVuoSXz2CX7Ni2sZ40fi6GJG2
w6L7Hfjcbb1FC8yn8KlzuwOpclQUMTyBRTccLHUxIo1yRV95E87z1ViiT50hL1DJyuuCLNpP3aJF
lhVhBk2OorNDqJw0wU0Dn+iAFG43ZbrCXpUX6wB5sxO1X+TUP9SL7pmneB8ihJ4jurAaaXTkZmdd
TlIvdc8LgOR+pcrhSrB3swYLtWcb60NdwMEov4quTXs9obhFyokiu0wGKz+WygZh45QvtNho92wU
AiR0nme5eLXDgdNgfB0BkJT4s4D+ePvYdXkOCxR9RAnfE9pAYs9G5ofQA+w877Mu2xt9eAUMIcPS
ID58Jz3Nsj3GJaVXUGRbCzLGygrJF4eu54CTGO7k7IBmiTn9GimTXelUdCrgBlfCzratGtk0Yjp2
etNaywGKke3Xt5nwok3RBOcxUmClzQzqN8tHGtD7OrUxJYEt8hJjR0g28pKgJDpJXSsMHgYBPGtl
+p9F2L8JSsv9MBZnQzWqVT+2Z3E1f/ZqMpCr7Gry4BrarX+qYtIhOlHtssjERhM+MwvMcMcxNvcN
Za06iVDPyZw1XeKqnIhg9oK7ICKnybLdd7+PaGNnDlsnbM+EpGWUQe7zF8cdY/MTZFd0LVnKdqAJ
0H4EnM9oarCswXDM7opYvtRdcMQbBUBiOu+V8ZAvDbnJhKOB581x0++klbyLKDp4zM6VwZ/GVfgB
COxLpa0zaae/6xn+b4/Y9u9qiRnT/+9M2JbR1l/Xk+cvWr//mVyNr/qpnkQNxr6fig0lxrJe/GnC
BsEafO+33SMTvm8TNtf6zaKW9E3PRM6LUfenehLOKns8/sWAP6Ss/Ed5aZhM/1hPYj9lALish5CK
EMT2az3Zd9FosOQfriZW68E27WN0pd2CwUymLN3i8jtr5zxxtpPo+/zB6iyDOtEEMHqsZsSWY0/I
2bmeogEgC4JPSrGhKhWUzhLpzdvoD8FSNzTxvG2TBtpmMjaH8St7OPrKIZ601s2u/conjrF58Rz/
Di5Ov1KMax+2Pjazr4jjmeUZYfVdMlpbaSfNvHUDS3LlhU61aSGY7jszD8M9QCvX+1RYRuozkmqw
P1po2EvfxWFCmXQYnakTH4MTjrtEhHDskgT3yRZsIYOMfExORhwWr1lc+puIcxGPWTX1W6NofMxo
GROuFF29KZmXoDXwXnuP1KR5ls4eGwlACq9O3L03pR/+YLgrWYYfoiQirJWJ3AYVf4ZsdwG9sE0b
AzWcpUmlSYSDQJJkXCBFi5GxgMr8agaE+NpWmzcbaXPINlySKCysZIV2yTxg5ktXGXkmL1ZYzOR3
qeRUNUZx7S7aZKJ3on1Yle95MHt7p3AwxqW9u9eqBfqDJ4ziBWOb63XFdW52MFcibuyqx+dS18M2
NJTH2NR5T2EAHpBU8LHoC4dJlMtBo5h9MRJ7JbcuOfhzAYgoUuE+RTAdAHLfV5CoOc1FT1XfoIwu
WiylSkl9ijxTbGwjFRd8z7QBylenfOhZAAlzYwcMbL1gmG4g5Xj7ISLhQC/TIjVImEeNi8K5i/tt
OTd8m6HzWJS5jXKEgqNZnI3xQMVJXwPJqqKQ6ZQjlgFZfZNMnJdjMrQ3QYbdZYbBYqHMm3K8hjYl
vBnBZsEcCL9tRG1uBR0Nuq638VjmB6LVUqyI4tuK+N9jc8mG+utjc9W17ft/d+HLF30/NW3rt+WQ
i35qtX+cmgRQYkdm1gP8hWOVA+v7qWkSJQkplKcUt/3X5cOPLjz6jV0F402WSQ6Amn/mkft6/v60
KP26lwBJEsBQwImPdOMPXXhfjTTdSeqgp3DN9Tz2x2Fy0fcKhxmfX+8UpdOqaafPsL0c2hz3rXHC
8zaa8o1nMqgn48HFYZ2etcyXVqUJEk6YzQpkWLcZdX85Nr7ewMVVmMs6uoTyKc3wQMviFkPYvpza
E/fKbV3RLIoapmBU2RpknX1eSuINEiOgVYxoE2BaHOYh/kQA12cvSQlxUjNoyVFeeYlzZQ3+NqrV
KWCam3uzc5z7uFl3OfVun44Y1uatHVYfbpXedkPinUrgAKzNXkOO8UjPzIElYGmbI8uxqSN9V5Yb
p4rX5qjIn67Sh8HqnnPcq2vOywOTY+T9ZEqtZOo0q7anC8sq5zKX9QnOJaw0Do+a/nWFM4AyuQhJ
uGuq9ZDUV8LrgffKNt91WZzgtmI7neO2QJGWxJfaJ+gyjTqooOSnfIQclZe9G7zNGb9cSFPpjR1P
5irVzTvEq+hCYMPwIoQXdAboEkodXmlEnnSvA+8a3IJVk5CLQkQ0IMIECUIvLH9P9hZBDk3vHdwx
SG7MhPnsXHHy1ElG4kWJHMEZBrXKJCetORXi4DiEsBhZZu9FWkBMIE7Q8UcIB3jLDjKOrQ3TR3Nf
uDpDplvFOxfN3LaRrU3ioyO3pSPOsd2d0WVd5aV1bKdk3mQy/EAw4a8Ene3W0BmS7A7cuBUH057A
p2JrCrY4OMvhfaA127cCu7MYG2R0NqRCSfeN5djKbsshCPdd5VHoW7B1TDOON7AgHBoAx7gpQAut
5MxPWo/wqTMqkl1ILOBaTAMFuUqqrSEJjIYfmJ08rYd9Yqf3k62v6U3LLaEm00q11asqIJFlqc+g
lwvmVEWalAuuL+CYy68os8vngWzOTyV52SudRuVh6sp4ZY80AEVcIp8h0myVVjRUGb93nINGdwiH
IMNl6jKKD7rsS75cyqYI4m2fSONgtmLXefRrcRnRpjPclnBrV+CF5Sp08Z8YYgg3DbjptY/u72a2
xhsxdrhRuGS0LQCnFnZxybClPXgAulv2+C3X8w6+WofPu2guMmskenShtja1f/SnIT73jaCnHyvd
W9voHrJItcbGbLsRoIY9WkQsd9XbwHcFHJORWsoCSodpzZRlurcMMHAj/ffa7KNTKW2fIIbJWkV9
dyxw462qgJ6xLZJtVpYGDE3zkDnOpx71CIOJ9F7W4hSI8noI9NowggvtPeOZPetovR9pHd9xmZ6P
pMWsysYSm3DoBgjpAaOkaBnbkd0Kt888t3m1FFVl37sfdR7akAiKC5PE7lUfBQ9zSHhSJmaaIS2/
aOxAoPflUYnpBiPEeedlhB8t2XKlDNU+z2DFj31K8Nxi9+yJaFvauWOp7WodaIfGduIttCBUdUZy
V4zxs6m6JxY1nIJm1W+CvDnLButlzOFH6nzJltAq2VF/km+GtCd3G9y3emGNwroodI9edfjcwZbe
oCy/ZuMXrpQMyiNGOf5ma1K+5AVY05YUJmEeCsJQ1z0QeWGq+grV97QSBaJ7Y4w27di86xgTmNdn
mzi1/ac87qS3JTz2orTbN+UGx7LzHunFvGNG/Sma+ZV4HMI21Hjghy52KR4ANnfzpvCDS3I09mmk
jJWN/TWPiOXrlXUwaiSpQ72hrQULkQ03ZSfPC1s7wASL1xbscFA6l1ZS7Q233idDuuE9ZWNt8f/e
Sxpm2Vpn3QfJHtdFPTA1U9OxlW667YJibbj5TSxjg7ugWxfOdJa2xY2MjI2VpfdFnmxTvwTzypq7
k9l9kRHaYQNNL2NMo3KaD1jczlHHI/hnNhvZa4R171isCPVwQtIAYMHr8DqTjCUSv7zFE9tsv5YE
/9ZGFlqbv66Nzl/yPymNlq/5URot/ic0Fxj0MUF9dTL9KI3wP0U0mWR2fEcNfSuNnOg3b8FbBRTQ
4H6+6s6/LyjC3yiWWCYgi10WFThD/8GC4k94QsvSBIU50lh0hzDdf20owW1YDl517yrvi+SMOVcd
341jXtYHiJv5flhCjadFAFCTc8zNWRyxVQ9rbwlBzkkPO8olGHkYloxkUUCPGbndIGUv0ZUMVkIP
n98gmFcyej0ZbOMvgiUUYizMnS8Tih+KhGgO3z16D7QOA4bl2J3l2k8T+IrDGa3YzgjptTJbdLdt
r4/Ml/3nYoxIKRZptB0sVN5M32an2g92cltbJYwOnzRHroaeyJrm0M7WZYQzJoi7m8wJr6AUHWnz
77KQqbnSj0YSVmdlrM7qNDo2qZsdrWh4LKgpQiO9k7b3KclCTPAh63g3d6o7SydPrDqOLOS3woyf
nKh4WVSueLLBguRtP+x1SkeVucEK9y3ig6YKVoGKzmryPFd5Y58RjHlZF7AxA5Fc1NJ9adL2qp3L
j5Zf9AplyHpWAybvuDoxbwrWEiiuFzG8npBOQJ4g2RcaSm6LTwFC4Y0TTKc5Nh7DZtnmuzDqW3Hs
Esa7NYHQKNuR9i/hdLDjfeJC1MEe6qd8IoNYwUT1nGbeQRme2VGkb+BOoMZXlrcp8Tb5RnYqksjZ
y9C+BLJpI5gp0g1HyEMVpy5d3gd6BvPg5360jROyBVGBgLG1PowRwCu2l6u66IhtzTJO8KC+D5vQ
ODei4pB7zU2BloZoUgLkcP6KtgrW3iKdGM1kep7A8oaJ+yXwtLMVPQJAS81PLrkQXuKCV51vagaG
fWM9DeBCqd9xvUp32pFlHm0rjJ8ymA45MairxrX0WnTD+xhGCqaPR4peleyE3b2BUxgwuDo7Ipph
r9MWcz1U+JEzX78C4LbPR89LKRg7Apvb0GJSOsAX3/Pz+wc5WSPjeC/rIuxszRSs2jAAycqUlHfK
RttA2jhfnC+/8bnk4s7iFn9TS9w04WOwo3J4x1gj0sPUm1czD8PNRPbbPjdCgMwu4g7sFyfHEc7a
JRzXqfmamQS/K5EkjF9HU0EWZmuP9NehxLYmc4vcZzzKwED2UqvsFIbjvA96b9gqmPSrCTveyuz7
3dDKtxDKet1TuHFIXTignbCDRTeTxvinC3FZ+1XGOOPzEHrTXWMZ+RN0CETEtdTXDpxuK25INCc3
lR7KybcImFF4E5pAageCg2U+EpohnxubeywoTaJ1hq6/lK5LyryKGEFPFzkutTwCwtPVDUPawjdX
dqZfm87YW1jKVj3TIMLxnJXrhSeDde3JSopwoyphreywbJ7toGYCUZIjQ3aqT0wl5o8yDQrq7qaC
hlzI9dzO5ltt2Y9CyngXUXdA7B7CfTljGc/zwtsrScC5pqXb93mtGPsu72/sS6Jm4rM6SvfFMFwi
cxDrYe5OUDFu0oGf2jQ8uGI46SZnn8m4RaNMvoGYmwtCocP1mLIWdMBCOy3bh0qjAxbptJOlvEm9
zN00Agq/CkngSToUrpW5z7z8yeybfWfouzlHWlEUKLFSNkKllV/orknYByISyYJmH1fVwe/0R+LE
i29eEfpnMMS3SPOzL8JR3kstivMo7a9LfqMr5WbRVir44wlbDk+0n7Hz7Aa3OoP98T4qm/ACJU9t
DvQ2scY91oS7fysEE1sglpK/qxDO3ps/GznzNd8rBAARvuUTWseA4vdZx39GzoxIcKW58IeQI/gY
yb4PT5Y0FZyI8DXRKixGGLSl3ysEl6AVclFM0CvAZG2caf+gQgj4zn6dnUR+yLG3wIUoOihhfi0Q
0Dkm2HXn9jKgiWCvkSHHDlO7AGTgRpws4Qs4nGFXL42pNc3CNU5Shx2qxYAr+4lZbhdfpbHqWD6z
HJOcwwJGSmV4XXBduU0zXJdDdVk5eXZvNIMdYWudg53Qs74Ji1Q8oyyYb6aSu4qQF5uEu2hQ8QTr
pMgQ5s20ebXWyaaGANGx3zYkhjarDQr9JMmYHStqjZlkhI3T+TrTgCbGzDpJCaP2Lpmn3NhnzApt
VlVJs4+cxISDXib7sW/9TaMGgdJxqrcDgaucDlhbh7Ge92bus8jr08465LCB562juynZTHY0j9ui
c/z6ogqWVL/SrQwNEwM9aTfplFAXWyEW8/2F1hJUcM3LSe+tKs3bu9wp0O4hWyiuRtAZ9r4O+P8p
0epxHtyIdPU6yQWYi1QFx7qgbvu3iP+mM/rbAeexnP7Ej7YYhH48ot5vPgZQzGWoefBjoa//XsTD
cAlgp9gU0N8mlT8eUcAvsMFs/O7UeBHi7P88ootDlCr+Wzj0ghL9B4+o9RVl8R/XBGIY4KPO8j2A
Z3QoVv6g/3fSAiZ7H7SXMvfTnVqejFFJN+S5sfu5r7BJp0iaty6qobTc5j1cJc9qeZiYfE5EG7lT
5hRndZjVEwtoSA4e6o2BZcnKGv2a1tgrUmdvBaWEQOC6RaZv2PeQirIx4kiVz3Pjd+510HVRU24C
BgLuGWXToEdEGrXQL8EMn3JetT5QS3M9jk0f4Znp02YvdBVhkDfJD2CKigdocD/VqlrnIVO6ulNL
/Gsu5Maqh/4sm9S0Q4BSXgZF3t1afj68mkSNVcdepMlr7zbjroCEf06kutoSEBVfCgMPOVl26YEW
TWLcGpwJDpodH3Wnhou8DAYCj/p208TVhyJfE7SzbTcv9OuIhlrX7tZp7NnHlDvznqJZrvkNem/h
XET7Pi2Gc0aPq1jNGVZTFwz8bIL0dxISazpzdPHF0pF7bWscWR9Ol43ZiF3ewfdyKwvsOmpti/LT
cl55m3AQxSb0BasCn4L0134GjDZfp/MM3yy3O/s1pyIkc4IUnSkX+hEuC4FVaN+uyypKNnMou6uu
y9/4lZbHGh8+jUpG3qHAsHjhYl9iV6PSy0nmCetCL7v0Mq33EQOyrZij8HKuM+8g61Kso0k2qM6S
6c31x+LcG2L90EnVwWkUBDUYmU2NYy1LrJS6ZooAPlhj7d9YtBO7rPYoELOvOz5TndEo9Wda5yfk
bfN2Cg3CmL1p/BjctDiElUxOo8rAXXkiMC4ou8yTzDShhmoqilXbkk1dT8SMVwmzJHfgUzR6DQLf
2Y7iE2s3/6GLjM/KTO1z2wirK779eGfk0r1gVeTu2qYxr6Y5HUn4GMQxydAuKKMVF66uptu0ITQJ
jVi9nbKOyqef453+ep38W/z8XvxQDvz1eORAkAtRXC0n6Ve3zfHL//j/vp3IfN330xUODCZak+0Q
RyxAFw7e76er7QLP8piQsFX/Bs/6vj3C77LwseggTNwuyD9/nK7u4pJBm4EVGC8lf+cfjUj4d36p
f9yQc5Xyh1orsnElU2j9rOBsO4Z+gfKG6848gdoQ063Sv+sx/tI4wzzolxfhpwAwGZjgIJGK+jSR
SxH2k03WMhpHiFxX186AzRNtoafZ0KSOXTrXqYkaa1Pj7M9vZpX54SXRS8FjkwR2fgOnblqnphzt
k+1Xaz2qY52O50QxkpGBUz8DfdXNDnS74jr2jE2hjOOkI6aZ6q41Kwi8Kcr4OrgdM32IJwJOUznu
yqy1UNvVJ6Marowwf0XR9GKwb+iq6sjc9RGLKvvYLCUOTm9DuyC0Q4NHH5uPpgv2VZENm6J2A0or
t1sb0uJB9oZD3WMK6AJGFoQgO5opZfmY+ObRBBjAIVhBQyzfCShGMI4evprke1zBbQ1l1a6UCS6r
RnpQFd153AbDhvaP7d2wZF4G5uuoyxOYES4Kt7zvreQU2/anZqT5trP2cy5RqaXT8IYQ/zS5Tbmr
RYWIdhw2UQ0lB1aYt45VcwfvqFkFrmq3yeRcYOMgwUA7N8UQJeu57x4N4exmqH1IaBFKhHb7IYKa
wStIk1VQq+tSuWfB0LhbLLtAr/Ia04jJIgrpZ0JETFdus8rmsOzJenVRK1lM0BzeTqSjxq03YLCU
dnGPDBUSbpg/kdlErNRQHSOrFZdFO1jI5fITBzBOEIvW1woTbqA3R6hd1PmoIAd77Y41qqmi/BzP
7PLiOgQZk5DHE3bNpu0xrwTeW5UtEJmJBKPAfQs1lupQZB+hhLadUDdsEJveJ7X/4UJWMOvsnTN9
WFtaHFK7SdmDhWuFJK639aslhLlu3Jak6Lw8ArfB59K3O6T36bpzmMC5uh22LllgUI66aw7rT32C
fMEo2mPqpM3WctM7WIzYC0jhWuMc4eJmPt0nAVQ03r8oFIgYFwo4o7Mx6j/nJpvDbPI/hIiePa4c
WmTb2TngMAlvTfMLqpRmnYgMyI9nfkJLcIflpDqluXOV4PvYpCod+LCSnUdk0qoaapDMA78Pkkqf
cj++93vWD70o311Wrru+MT/lSfFJZ8wpRiPMNn3SXjBh+WiN8Im9GaRlIl0Dx9L1BjRlhK529hUd
hYNeobL59G8Ht6ljDAXE4s6RVd97yYAZxs/5lEdF/ilHU3T05lFc+85wX9f2wZird8K2j+husSio
6guM1wXaxlq5a1Hg5kN71jWZ+Oy6LUsLkle1/8C4aQRFSVyhBMSTGcZt04lIMn8tajYjsgFuDejb
CKBXNVht17rwPEzZbAUYno7K4VL05DpYxMSspgiKMhes9KVWwSPemPfMHGsIIXBK3dnayaJi7zyd
OaH7YhDbRG4izO7uKelwNXHm3DaltRWVdass54gq55YV0sY3kgc7958002RlmWfRkFy7QXg9yfRi
1u2OXON1HE1fut4AwBSITa4B/LAZWecQqAPdAMAMiVKu+stgSYOrmXfAUd6kGWnEKqLbE6Gxig3j
amqbB0nUMlYu/a7bdGfX42dDv3sdn8TeD3aOy0oW7uaA7SmKB6aTopsMY2tCSX0Ikn7c13Vjr0UC
cNwLq7a6zEHPS+UCs57rbdCXiUmsFOcWeYluNVEkz0iKJpB/YcGyLHQgWNV617TD4zAUD7o2nnBn
OTdm583XXHj1rinql9q2jmnjfBnj8Kqep8sIp+SylCMhPp+tTQZWbG2IIttJ8oTuXRlOF4lM77Ik
eRV2Y6wHEkDPmnkKtpVsWUaV5oTzMn0qbd7FIb3PMiU2kWOcul4/dkxQ70LDkbuYVB5CFGuG7hl3
D8nGnAGdUfgbTQT9lUEGwD1ZYNNmQiu2TRooYzzlGhCt7jZuG8gDT3O4qYt24/qAKXqrHfaxjQTC
AZG2H0ozBVhYIVRvCco2CirLoYisg877a4j4t+AT17An96J30b0a8VuG+Gc1+9Z95anHxhrvEq/x
j5HbPSoa/gVKG1/+VIt886/+HIC0dEX/6Zq+Xrph5ELaZsABKHDhz/186fpFV9mhXXfXipGgb13h
OPT5rj1WgcL9/Pev9WsVsbwWWkIAUhYATtJdgsWH/tMFr7UaW3vQw3UY43x6qKddajz8n73E8i38
9BJDURfF0BXDdcWDOWHsTPtnt7r733gRQHmYWXxqrKXq+vlFdJrnoyiH4dpp7mt1PhqXRn/8+5f4
77eFX9VPL/EHsU7bKUgY7jhcu+GdrHfoj/EBXpXBi5j+F6+07LZ+/QD8+krLd/LTb6xIe0/6IPWv
a6a5VumvU/vUsczqt71E9zyv/v4H+1W7+ftngIWBR7AI8wBv0Zb+/HJArce5aa2B/e+jRQcT+PdJ
ejbJx68v8+8qdqma/7rX+P/lyxfV/HensXzVj06DzoDAKPv74IV36EengYQNcRgthc2Sdvlcf9/F
MuABKeSQ+LLw3/jE/Gg0iH2xLSSO5gIdYisbBf9kjMMO/pfP4yJTo71AJMpqlzvPc//wyVeVN+ce
ppUrs3DugSDe2bT70tU3+YhyDG99ekpMFDKWexATrmC5RA/EPUDWduzilVlXNS4GRDaKrALTRYOC
Kd5aDS6WWT1bN625pDhE/Fslc4BtweV8jBKkmVVa3DVLKMJcAou11Hhh1BTessTJNSwhCsboxRto
5gLdvw2SqB3qS5PUBWZfLHT7uTwXtk2R7tvEIcfkt9pLXoOOGBWj0mSZiyZobsr7tAydTbHkPJgE
eTIz3oGgSRCMWFzurnyfCYdozMJYFbZ3UMRGGEt+RFxr2LwkSsxe8krIjsAv001rprNbwJrCOreW
KIr0pXHWLfYUpdCcDaScruqZ7IoASQ3czTHf2LOuthURF8x+GQu3zZeO8AurrQZM8PxADZBxTUAG
h2e1msqtMZ93ZGeMbvjskaUBvswF1o1kJSJno0kaFBW4Sdw+xEQDi56Z8BLK0W2ZzfOWOIzL2yTR
x2CRugLnvbWTwb2JyPcY7RJ7WdidxUv0R2aBzbSXOBAd9ODm/abbVjEtSLHEhsT5QLyjGZ4j0T1O
Xca6iwpchCWBMprkliV+pHZksA71BOY4kuOWQX69TZbAkqQ1KQnIMEkMJUjrrva1KU46D+7daH6x
lugTOeWr1mxZsKbRRtkYGSqHXVzlVqSD90smeX1yLH6WmUSVCHbQOo+t0mR0D6ApjInSCaHOVDlR
XG7DLY6FwYaiwgf8JVKg3xskeZTe1iNd7EWD7G9jIOrakB7+Tk7Oe48Tf6dbCrdah/EhGL1XFs0m
ykcbyjpzPJIvujsPRvCZDM1TL8RTNUdQToBQeyrdq8FgPoS/RUOwwdUWWyuVx2xEtb5sxczj09+n
SfxapzSdpRONANTlHWl7y5wPoL0THEH+J1hgiH6cSFVRkw/1ldLbT7xPTWqmJ5SPiK/FfMe/OZzX
BGeux0gpBPJ+sy6zmcBYEo53VrS8eWjV16Yf+2xH3c9aCWKT5g51si7Lk7ah2YwG2qp0ypgQavyK
88h4PzGRZZdp2lwL30MD59BIlJO1Czv5ENqMBBPq15Gee6VthU/aqcptXAhyYLI842lvsWJnS7KN
8FMoEN3RnEPziC/sGFhxsff5Xla170wsenlKQ/a3SNHmlarLg9vWB2H4G6FmSmvBjrMqDIsnzW3X
hmmPq8lNA2T1etO6Fgti/gM907VgGw0H+5M1ijOv6U7KoXJ1m7s+IE5g1nLPeBgikYxn8BnWZT92
ZHx/Nb6m19LtbvJkeAhzcBVyBiSFTCKHlrCSSjz4vX1yR/OA0eC+herMELg0V0gwHYyP43mOyjsw
G7WTU6hRaI0XMSU1yNAlSdUinLc62R1g6kl3H64XP2eJdeUqQZlSXdf06oB09Wsce7jA8vmxSJE3
unUYbkshn7UMEJmS6rNq7epepQyxMVvgRudTQ8rtlD84nfCAEvolyVpLhEuqRhTyhLr8e4X/Pi78
2yscu8J7k70U/32JWz9d4hYzQRRRgEI8hizOslb5folb/m/47wAH2r+HrfFV329xZoxgNM3lgqX8
Xkg3P/alNvvXkKxKN2LQhzP4H+1LYfD/4RYPcKN7NlUEjcUyOfxDqY9bsilHo54uRqci58nKzTBg
G4jS+sOc59JjWsJ5ywXkZGYwAwLJ8wERyShoQnw3v43tdBluxcOhsTgd0SDbb4mpcVlG8Utj5XcE
k8hrKL+4CGff3jmLwYQKRV8o3/9IKwAL+BolBS065bTrnG2gCc5qsfZgh7G887nTkjBWfCtgRnhy
1qOv07UQCVwV03JoCKNz4bf5WeTDO9LVMO0aj4EUKTNINyVsBRlZxJcjOb50++mUe9l5qNr4TGYk
UOcGSjD0QnbIeMxHOENJsxsjnMFOSyddM6YhBTsgt32kqa3DrtyYrvFU0IBV/liegrS7t/zUZF7h
EgSQMdVMosm4bIT/NpT06jXsnb3yxMcsxHMwZFpyBVskDcdBDJFfTJ+QZMfAXNKLRDvq2KXivU1m
+4nJFRbYolW73i/qTaALYDygrClZojI66w2II/5gGicCY8xzLyvbfZbaSNQadhBNELCOTsQd45zj
kE73RsVxptzS3Zuhugl84p6iGOJzaIKp41xQxzmn+HJNru+RNfO5lXaSYqRJvae+So5VbDr5WRtP
VrtHBT0x6ZrRFDUkQMpVj0A/u5gsxm74PXGzQgzhX4rWYWS0V1UY1ahTyZ7xjlU72feG3RUZ124+
n5q+jK6yfqIUVHOooPrwS4ivohi7Y5rl0UdvRfm5raKNlcj5zu1ptf89vX5fWiyM379uQBa+6Qq1
x0vzJSv/ZKG8fPX3RoQzjFkARw23BM/nYvP7cYYBuDdJHVy6CqyDJquA72eYx58Ql4ozBkbFr5oP
57eQwy0ENQHp6ysH458slG0Oyp86YxbKiAfg60Pz4qC16X1+bVWj0TNYQjrppYGwfOP19ODhPDlH
v5/qZ3IgMbm3Nau1lU+tHKyxnngSN1etxadJ5GIbzcxQL8vGdjdlDdvaXGGM7W/GIVTTS0coCiVs
gpCCGn0sesFEvCYIBSOxgxO7XvHg1PMRuWqT6H2LsCm9C1u85I0HaX1VGgwnVnMyi3upiv6TS2dt
r4vcnGANh0T22AKIaFUVzI9JDwEkzLS8QG7yUFq90UGlbPuHSkaLpNOrZsZl5Yzf2tB1uUbdGV47
eV9BdarFk+FV+EcYvmPh64v4KjCtJFwBLsqYVnJ2rSlwJDLRDBJipOwjI0G5lo7oSLoO5GXgl/0t
9gCy7rHpuAi3SlIxDXYNXVGHzzYJSPM6aiM1U0J2PiOBMPOCtbCK4BYekpoRr8nsgFN6fpO24WzS
xJ10uZ7M2mvsXRd5oooBfHW5Ooa90+4ZmU2G3mSj0T+1WWNZ7Prx37n/k73zWm4cybruq/wvgAl4
c0uCoBVFeXODkEoqeG8SwNP/K9VdPdU1Pd9E33fEmIjpUUklksiT++y9dqoN7P3T31wAy2+eABKk
xDd3XuTyf5vrNto6ar/cdO2I58YruxsPxw8ADKxLjKomsQVsOp7BeXABBDY4l1KJRrKYnUrQOvoy
+NAbgNmHZUj6klHbcj95Q463zR5II6IIJvlONcreWbGnDdN9o7XphLs1McWnLdzo0zM8Zzv0Rhjk
SVw1uBb0GF8egYpCoa8aS0D3jMu2bq8bRfEgg/3O3f1HOpHa5n9/cm3zz/IvTGryi348sEj4QabF
iuZQvfFLLlr/F4OTyb9+H8j+/cDyeGCx1WSq0mEMfo1qP0xqQAldnT+L/5AF9H/XASOHqn9LeUgn
smFEZd7SofoASGSH/LO2honK0afB9a51bLi0AWlLvW2NKipvDKWM9Y0V01z3ylTS3hjElOxDMSL4
L6N3slPv1JYUedVF9o798yBJNaPe47U0Te5UtZFPxbo1ln05Gc1mGL2bzBXfCZMkbEq45A462xIq
3brEjyzg6yRAXJIgU63sFJIhVkv0yEmrU5SKm0yGR+y+9SPcw46q79QUqJdBzoQAEm0GJE+ITJ71
BReajKQIGU4Z1Hk3y7hKqWjvacE4wR1037rOM/kbuvzEt5qkiwsvGG4df7cX2VnRy0AMUvpnO7t+
JqMyqQzNZDI+syhKMEETXuujtmtI2FBvMK6FDN1khtKySCCIAyWBv21JfLyrlqeCxI4roztwUnXi
3cR5dHI9sUlYzhiioJWRH42d9CYlBeSSBqJAlK21DAhpJIUKEkNDmt5RdXc9ySiRUoRWUMh4EXHK
PZRBHO0JXhkNFIuvCrkUkMEkItAGa4mCQACppZr0UmERAo6IXMd6+jEXowtKgahTW4WPbg6dAtPK
G8xpDgtN+97rykEjJyVAL6QyOBXKCNX4FaaSsapKBqxmGbWayFwtZK8KpRTPvJ7H3npdCvsKzyJ7
jBzNNj1wr78TMsTVCuw3vqZ5TXyi5nzA55dkEVvenMpESkNBR1JGGlnOPu9cU1lbY7xNXLediPOB
k2dwiw9OVo1b5BYGVN4D+LZV1Bl6wL27kPgSjVdf3vKmWuzdKA3ndWuZuZ9LG7rG0Jqv4PnoJwcG
MHQY22VjmKn/KMm/DXImj4f//jhkkOvf/t+6HZb/vIjKr/zpmUhKB7MGDUKUDUrqw48hDoA9mpiN
Gw+ZH6cfX/VjiHNA29sMfmiE0poiC75/PBNtnrGqxS5KwwvyBWr9G0McUelfn4lfD0RgsVxIZfb5
l12NFyoVVWRYonC8VoE22y3aUK5DNCyfktYAhJm2UlGi+SfPIOEtVr9vLI3mTRUQJA7Zg8jplSli
6j57ddhFdPWCf7VowUaMqcqB2Cb51dRJ30XIe1sbsTyMJe24OSzPjVNYLk29s3eJm+LBat0Wdx8a
FGvN05zRvxgRclGTpzA17gvIutdoVcoaIVWsBvihG3XSWCjn8VNoRhkpAe/Gzdia0G3+iV9mCCKK
1e7LxtuhzB/TepoDdUKz7SYiQOJ6qup8nyvNecTQAQNha6kduFlrOhWOrMHBCd/OFdFLB9psb2wz
1YthtXbf5gQ4aRVFI1v8uV0bSQias7kzPVZ2k0k0x2xXXdsm+zF3XjVZZIR14EwZMWSsJdqHU+Ou
h6nYxVWi+VMGVjZvMxiKy21IjnZnKRq/miEZj3lCiVNhRWevTg6YPYgW5oysvfKRprkHwLJxwC0k
W7EI+DghD1JlxDCgxSBoWK8HQ86kGtEPatDEQ3UUF/TeuE1rB4PSh+5W33k2bKjTAIzW4LuJte4t
Hkpz3YU8fk2nR/KD6mPIKAUSA3v9EQx7biZre+5ktfstJp/q0hTaVTOl00ZttHqTWJKGynt4u+j6
vblgF8lGeF2K9UC1hndoxhTSbp/4dhOC/qJVwA2zgIDkEYzFRYSV3+ckqEUZVMyGPpyhJ8/szG05
0fEXShuKl7PyS5yruZmf9aoIzJItppjrfWGMt2MHG1hbxCffecJmmSMfN9p1WRVETLX5kk5AO8Ms
vvIYsk+ER961NiSU02r6HrCT/RorhbNpHAbnzVyiJKpLYGVAP9t0rM/RqDiHOqq6GzRZLuHOHPVk
bmru2rTMfbi1Kw6jZazc0MGAMO3koDpbhvCNsH3xTEHj6IygSlfLpsFGWg/ZrhX4jgaLX7FLGF8p
4uXBqGEOmfos1kbt3FGvdOy1+TOPm8zXMus2Dwm+2aDVlmI8SyVIw3G5yWwTIbWLP9Kl9vZ95XxM
EtZmuEvH7QzaV6V1Nz3+Iz6IVyGKk++0oj5UTkvHiqPI/O2GBlDcQJE7rIix8xUTLe+liOYg1cLv
eR1e8nZmtV/06jXG9mqNo5dyrAVbsF6qm0W1mx0INzitpH3D8iBSnYtGqL+kNISvbLvvTzEunyuD
EoVPwunZfaWyQ8hHd1ZWWh6zw/96KP8zrOvsof/76XT+HN8+3v7zZJJf9cfJJB2QbDFV9PzfoRt/
nEx0VjOU21jZmdiBdvz7ZCJ0qtu269iIlzKpyqH142SCsqlaXxXTDNhyO/o3DiZk118PJkdKG8D2
JWmJs/CXvXs4wJGwwmS+TsqLMYNmhfcg2Md5D9OiQ5af2SJ6ennCZH2Lvep9ZiWxdpSFVWYM7wDG
mrpywNsCzbhGx6jYqdjvQH6u8sF7hLX9YIjy+8BU2khSbuI5L7RP1iu3swnJg9NV9eJUCfi63I0p
EF2Ms1CbGGqkKtck2aNNj3RgVATANFC9Ov1Dq0q3nrPceYzm5R3aULkOwftiHHsA331pwf4mLgER
1cOyABC4qqboHIIIrgTme27kR81Nh/VEv1sBTtggnJrypEJA2A/ghlGrQ+4sZVDGytMAkNgDnmfp
3jkHVLyYMQQ4B1gCFcF4NVnvpmCNG5ccHIrqCjHlo/KSa3aoNkCiZr5bcEEmY0gbXN2tF3AQWKsN
PDgkS1YR1OiNp1gvxZIB9EMzhTao5genSjwfRjDbHQgIYI4kdwBEM93nvofDzRXegkVzuLNnNiJL
az2yzqMoL0pa884D8cSTcvjCQCMmd8uDJsTCcetSSeJbTa/KbXM/tudpjlKC63GUmz6uedTcEfHY
JgXYzVs1n8CfjPZm6BimiThuJ9Wk3FRKQqGlPZgOB0rhmJ81MeJcBTY99svrYqKE2x1vnDgcHvqy
fE3yzza0DpAdq5VldmxNh+PUQuC003JHIaOyibOaaIMzXnlSvMhm40h999Nsci+sOSsLa35rNKt5
MIvuNirMWw08gqgFjONpO6UpvahWaEABCHc8lKt11BhHGMIQIJTa2c/KjD29cB+VsXVXdqMEwtO3
asJVhS0dx4fYLx5VEGpVk1iMSt+TaOmxqbdJghOUpQCZvTAwBiuQTntQScPjkudPuaV/rwx+Z2Ha
PCM6n+C1PsxO/BIVIKepW6V8y91lJRu1tiz44+MdWwVnDcJ0U079oRhYf9Ge9Uy9y6rUmrd+TjYY
ko9emgAaqF/sRPR+aIiceuuSKa7N7wezfWBYGjnNzI4fLTtm0DFriePunZfGw5OIcHXVMnUsMVK4
AYVxVqatOs/rYhheLTe6pe4ycLTy2jCt66lWPT5ji36C4Af30i65dXHQGVGQlR8ZC4Zh7NNNJ8Jt
lQjJOjU1v7IAtVIM6Koh/4sYWFg73TNrjGlNv/sbaJYS11bWr9UOGmcOcH8c53vkoWo1VTkR7Na5
L8vo6Dbqy+LGV+zzbgzscZqaAXtsaAgu1B16IG8jp9mPQ8EbMLzPU7JcJMOIpps1HyjtnrfxM8NN
zGOhOveJfdN5xofHlLhJFUSxkIb1otPkIatjMg1LSNF27K1c5g+m3ilnaePdZhnPFXqQm304xuqG
CLEIStt7n8L+LcubS6i1wzp08Ft0Qg3XBRiWTZtax9rtzMtiuFtKK2P46xKCXZfat3BmikOABRpU
nYwletfgZiO7zSBrQGn3mX6OEUhXXR13AXW8JfTZ/rMCUbIZ6Oj1KV9jSdM3Hh5lnNeEoNgDS3x3
aLanBZ43MaFDAt87jvvbNiKVqgqEYAjgEyRwKNuw4Zld6z5WV5bEhc9R5KdxMazZuP2zWfjtQiqb
PP77ke9/5v/vXLV/SeHiC/849Y1/Waw2Ee/xz33tMf99HzUBatHxATOHhSRHwh+nvgmfi/gPkj+H
Mu40uaX4/dQHa0iqzXE8pgLDorz3b6XUfr2NmsQa0K5MLsUeSuCvK4U+JPWULyVZJaArapacnChb
G+O8+ek3c/lN8vvZ1IlD80/TxZfNjqAeW16wGgDEnF92F0qkZjCIMnEhHpvtacJyzY1FbrtIWA1U
egRBVTiQVfrq2puHU5PVD47OZ67uIEeLIu03GVvW48jO0zcqT10bM60JbALIeYn2WXQ1C1A35hCT
8Ky4y+9qvuFar/ML8PmSY4WmQrfRG65FY7Q2YBIAZnKPDT2/hDuwjGjdwoXQBjiVlUFoj4FuWhBs
cYb7XQajwTGfFHbGeF8pOteM55iDjPJh687QjVulmM6KYvH8UeVHUeqJLtQKb6Q3oIg2rGYfGPJz
aipGGN6SQsET9cZSFtLew5Pntp965LxGxfzSLlzVswGmdz4nF6sNj7ZTJAE7ph0DSQvCAmXAaNsH
ZIRd4sIAoQXqCNLkvRRxFoxsgn0WQtCXqqn2lUESoMyqDDQOZa0oxvViptem2wbunLPGpM2Y4ep1
cLSHtgPkPRXDqtLmW6cZtpan7yI7UlYAPgp+UCPhUs5dlfUrGOc6X/OAcikUePX6YqOyJxoa1rbd
YBLow4/lyiYSiA/bzBm+u3NHe4VtXUFstPa41IA9V/Zac+azLhjC5s5kjtTw0Gv5pSFhHBiG2C4E
xqIojFa9Zm69kd9tLJgrFBsSet14ryUgMRwgt1VJhaWxdI+JjQMp6jxAVX1+14lhr1konq2hflNz
CMiRmB/zJLG2k7HQfoeFqIvTcdUu7YeW6x+6yPV1Nmk7Kn33eAy1dSbElmX5TZG5PgOYfXKMhfqT
vPy2pPVz7LCjL+zq3h6RY8zGyXZiMLYOxSk691AkUK/d8BbD1sRNdKNNcfNWpmSag8VVoEhbNrQD
TZ0y6LKzzl5tZ4qG1bsjAs0VEu3UEpHLLTw1FLRRErFvTeMDrMuefsBgXCoEnjmrx8fMMtBRwWwC
dLAo4fAHdBo/S/W9UZs7DZZbr8K+c5u30E5utUz5xIRNW7XX3VS8G0GOjfdT1PV4qIQPqkPbo/gy
oIjx5LZ55UtfOlRnWCHdmIDTisSLnTodzIj6Kko4ETuu3vjO0J47BOHMH/tuJ0T/vIQYGCePqTNV
L2lbXWU2H1mjzC6YCY+5ouxpMTMZPeN4s0wzVL8x+bAFq8xUgLWYBu027m1iEP1ntkSCtnoAXHb9
DH4Bo+M+NtG0e2U3284b4vnrYs3ZGnRlh2jympt3QPBBoQ2Hmp17DgOEtuW1HqiSdGf2q3gxNsIw
dyNBlVaLwc4t9bg1nLQPVEwYq2g0X0vU636qhB8qbFZNUW8Hpqa5Ei9tlQJlm83HvifJCY7UbO4r
wiSRSycRE62MmPyPx+ifvajyKcpxYRIsZpcC4+DX2FvXgfgPZ3u+CIjnK3MbHqa76mqf9ivlrXyq
N9keY+EqPFK8zIVka/wPazbH2E/7nN+/vSxEhl+g07Qpf7yfrNltOFijYg/LZXTe6nDvqT2tQK9K
VfwmIvzX6N1ffR8d9JHDZZmVu/rLVZSLlqUl07hctOQUTx3EjU8v2gMj/x/f58+n329/H36fnIHo
utx+UX1//vs0jVlbtJ+rF9s6tvZ1bRBa+l8ZA/OvXrOf/zK/fJMhVtVOz+QvLegecU9uxp364frS
nnpF9Dla3bYb4DSBvns4u36+Oo+UEj52m3Bzkx7Eaoc+fAJPs4r8KuDfm8f/8Z76873/t1+CqQOZ
IqIO78L65efLB2p8ylnVLnhqznRpbdQr7Sk6UPStrCmVXx1etO20PjeB2FEyVxxpZrgBBhiIVb7+
+lH+0Y5Uxrf/PkjSDz90f6Edya/6Y4rUABpIqompO7jr5H7iD+1IB1tA4hZwAb0qzJN/TJEAy5gq
+Uf46yzkJfn+/qEdudTyymwvILMvA/3fSuPqcnXy05NBmuQxWbBrZhEt3TNf499PT4ZJhFEGBp6m
9KV2KEKzEX/fx9jow2sdSHtRwGZVdE4IidUb4rvZpMEU/bT22QqqEvdPA1veZJvB602fvJu6U1nn
0TlhAFMdqzcgJhDdreRtabrJL4y4o1bTPuas7iRV+JI23mMdgfupCyaJ0e2SjTsvIB49ILDZoIX0
nGTIBUoxbuK2z/3YJqtHQp/JMHkaNRsGWbmliqVl2eGXI9z9Bm/LqBYqLuPqhrPnEcryvjPBPyU5
o4veQ4nymg6kZru8eWl7Y9tQfAacJVyQ9Yuu9vnVYC5V4GZW6aNXVX5CyZkRRm9DSodBoTibfv4U
k275s9VsRsWIfFrErybdfKrLCPe0Sxer2ZVy0y2gL9T03hmV4lIb4LVrbZyOxpKkG71dPgc3DIZq
PMJI22p0WnR1te2MbtMSLwTGOQK+REJpR+Ozh0SYCSzAHlinxTiVkAoXCxviEMHrihH+wHPfuxJr
mOf1DizBZqrS+xxeVE/FWN2qRwrO12zao3VrFTcjL+kgkYnqlLTltsciE7h2fdCs4h0dBic9DkCV
nX4pl/vm157flSt/bQLX+pq2SAMbLIG4ApSln+ttweMIxz6LU8A1kL+Yrb7psMCmuKW4AjqY18WB
o5P9FRIclkAQa75QYhIqVoysAOb4bJahu1EE+6cGAhmlOJz97vzC0XrfL9ONNmqvBswyFXYZPXbY
VqA2bBy4Zok+HYQEnUnxf5VI+BlFJRiUwaFZKrZs+GghnDRcBsoJ7eZ+lgg18s8YFiP3OpR4NTde
sDkzhMU9/EuJYOsljG1x6PmpzE2i9Y+jxLUVNWJ+DsEtkyg3C6YbiPftVLPNayXuTanibxF1YFSV
zEsAKYFzHeKOrnQvCeyySmLjSgmQc2c2GxIp10u4HASO/SRxc26rXGb4c1hbD3YNkC6FTGexy9gg
JzukH/CeQ6/T3XaXS5yd3VeH0urQ7Ip6PUjkXWxn3zsYeDUsvLGDz5rje8/m9Ewa4FhLbJ4NP4+0
prPSJVIvxTTeyusNuqLYNrTVrHqJ4NNh8ZWZ+7IQDy1yLgCw+gwJ7VsUmsiUGNcX8+ADK/i7iSiL
Cumvkci/GvbfMjVHLk/1May6ZxshFEn8TrFtgsrutcIEG6v2J50l5wKqIKiLYb1I0GAtkYOjHt2O
IyhVWIQRRRqthBNmElPIp8d+7SAX4lgYbsMvmCFUQ3DFR7un3uifo+3LO25ypvz3o+2ufyvBgrwN
3X+uRuRX/nG8qYgaNvgy6c7+zUP5x/EGUkLu6omEfnkyfzreXHJjKKGgyh2dFlJpL/pxvDk4Odmj
eCgraGNIJX9vN4LH6s/HG0w8lR+Bk9TEKqzyo/88KCqEc7N2yqvrYbaz5QprpJWeNVOVhKq+yC8O
gWAe6Ll1tuhOGWL3mxnFYtPqBdQD9O5CK06N3r7kc3XIu/IW0cPvFegERhpeuZZ1RVdKtoZ6s42M
MeJky06xKp5AzHx++W8qMv1Qb+3qxoqWgL6XlLsLvX3k6qFtDSsjh53SczWaWOxw2x1L7Z1aceDB
IsoDEY2utlcpcUgOxLx7+JKawuqShzLHblEbqU04WzXoyxrrvZM4xbZx6CnM3cW8N8A6ULReCG4U
nhfF5qlNk+4lFSHY29Eo9GAcxhSw8pAeHQoRUoDpPELAZgO28Dq3ZfdcEkbbNG2kNpsC7ilXMTG9
D3YRc+aXTw5D+LqPxdal1WVLiw93C3pTHdFAlHZzgeZegaBRkcm7nmx+nGyaBc059iggD8cHXQ0f
lXbZ945yOxIeL0exZ+fro9+fJmFRv2zPK7e2122u3yJDvNVKdcwHFrBVP1yhtBCgUeqdG5Mvaz3t
dhyUva3pmzJszm5Uf9cNxnNF7LSkPwi72EVhc8Kbfi706TxU7bs6d7ce1Bw9tR8yb/Rjy9mFlMvZ
MfDUJq/v8nrBF5TQyaFuhdXdtj1LoknsU9t8Khybpx2GNbc75ClKiFsYOp7Q76VGQ2dunw0xbASt
EHApIG12V2HSXdCKX6iU9B2y3rWibUonPi9Vce2SNcPTcC47c9dN+tMiqqsRmilM+TOv5bpOReDF
8TlFKe8M8logpIe+P6RWuq1t9VW30oBSkqva6N+jyk038qWPHALurQbFQtu69kR5atevBk89D3rs
z016bm39pmFz3i/KgxUb+zyVr/AAVS0r9p1G4iBxceE3n5gK1mOZPzlp/AAa6LaPlSCsrZNhugHN
j2c1HanDnbWTMKf3kR9i7ZUaYE7tRFnrAYPOGhzrKXI02tymo5jifdUhlrlz+9k6+u3oTbctYv4q
jEbrxrHabWKL+MxUejVbenHdUi+3h7bcSGxtJQkBI78va2qu0aUoUOUtNdDekeNnIAQvar/uvI85
ms7qBD2jME5wHm6mBgLdVIObyHPHN5rmtU9n3n6GTZ0bO7pmnAPFCGFv5VfCm+IA/NM949bGUAzy
VCZkFh0u1UrLOKiNwnTWStxOa3pMy40ea1eUQd2abcLZz84f4jyvOOPJJa2VbUfpXY37YweXjvBn
56QBbWBXfTpsKRBZW8xCqqBNi3cHr5bMlHlDdwF1Sg+u2R11Y4EeNXfMzMm1GWYno5E8T7Ep7OZc
67ICuSm+1bAMAn1RfJmL99OQwSLp7Rsrd/cUjRrA91BlSsIuq3CZCKOxQK1UbCI6KK4VcI8TcZMB
2K6yLvTquXdMNsM6qqNSLOdBM66Quj5sowHW7eq0KbOnmBKK0sp0vLVL/ZGW4INiEfxThjzI57LG
iySuLA9gzmjyBCgUYvRezcmuNyFOzKRuAgARpwp30Qq2znWWNQ+jDXQljqf7yLZ4v2sJHk2mWje7
DnN+NRifMrZP6YM3FuXaS1gGmZYiTksFbS1Gnv7nWvv7fuT/PPsD+O5/lbiQh+ePcx9Onyxocllo
cBVVf0b46eq/wGVy7qs/cFE/mfW46nJzJeXF/uNP2W/rX2xaiJJZDnBOGeX4O+e+85/XWo+5wiN+
DmMTacSQc8FP19oMsJ5Hl6ZzZqw/RH0zlle90GdgzcVY1zIINdADLIiBFXERTY8VDZOzX3nAg49w
ZV8mo7sr4mb2467M8PIO2waWNkImDwC11DEI5RQke+k7SJwEVdRKNvgSGmrfrDMlLTQP5spLJYpb
KkmexFBp2U1PJ8gdOaSdJyicA569zpWO61KinLMQ5C67e6qFCiV6mdn+XahZS+xLnM/OBSAvarXJ
1c/A/E/iyrdYsZb3tqMYQdh6DCwdbcz9daPAyX4cWLPTKJeJp0z3YgpYsmrHRzWlA1htr0RqHsRg
3QJ9nmHql4/qIvfSuI+ruP4GDbCAQje8Fz3t0C27Y1Mz3uMyhUqsmGd70J/saXocAMSsDbLCyqj4
SkFlcJSwJjBJ6PnuLLBBlnQYgiJ60kPDRWjPXvXIusPpfY07l1uzknzonnNfDOanalL02BX8Uiy3
v3GMDFvFNDY7wZ+/0qM6e50lADATyU5dELkbuasocvceZqceVCVL59KAlzSl+o7V7KocRwqjRAII
CgSKVeABKEl8kGjOeFKnTb4h2nIwav0mlK3FixFTjmXquypDqdddGhq9edL386ixZRnUD5Vwl0vG
b03QJNxkTrctSu8tiqsjA+yR05jybBfLs7F4d06I89tjMzyFygc9z0GuTkTTMMO1WGfol/HrFgdy
UfYkMSAk9hXSNj6BbIUp+5uIvckf5/KZt3TPzWt0drYJ0J23141JTTg4bBblVqoADMJf5rGHwtG4
imLtNqwVRL/coZhraq01jTHdmvcbI031PAC2wYLZH3pewb4bAlwkyXayGCRttcF+UtJ8Nc7XU2M9
aV1/9vrkPu0ZaxO1eyyi+DaWnplaHbZaZCsMP7hYx7i9nZ3wnoKMm6WBMiRwPPgs30nIJclM5WV4
GcJlN+chrMZJ+dY2Skwysc62s8V5vWgeFZJDQd+41W0JY5m+Zs7LgUX6dSqxlJCcxboeSmNdjHlP
oYs4WZn2kecJ23M3Z9JOruy0blekPo9zBcxQ9QAczqhKGh8A39TSt1atBTTF/tprzedRoWmWj/q4
SueCU2YwvhfzQK1gXd0OS80Y7KCmMGI4zrSszJK0UJ8xo4ql3Ckm784wAmzQ5QllpPqyHRzn2RLW
nc4SaD9WuEXyVt+j5Rk+0atTPFKwY5ts2VQI3YFo0usksn1byW6LfDxzx1DYmjlYsOgPTgrvokdl
E9h5320xxrDaa6d51ZT2vdCaca226vdQN6lazL9hTN5j/FUpHMbWFCr6p9kpj10K/booisdC9PpG
94Y7SiM15qjipZrNo6VUs+xUnWMsHY452TdG6tYOshZ4ozlu3rF4QSuwGj7lDNOD1VzZsrd1ocDV
Gpf31tBfGtczdp7seK0957LI1le3j13fbCnIsZFaVvQO45+gJVZ1eqIJPSC3Ws13s1pBzZOtslQf
vdagsPuid9cidkn5D6HwSXOlflrXJfF/9TwOWKJYi32OC9Tj0rKv0pQ221H22pKvhTYlu269AYtF
gXcCHoegw5xPstbRjauGwjonsi937JqJnTGzrqE3t6KkVXd2nX6j4QbNZOMuvZUQDmAyJVYKmCmN
azBkYj9T1FvIxt5Cdvei6kariUaCdd2m32yHhl/CVsvGovQ3Mg3Z/ksPcEUhcBbriR87dh64Lq4i
nofLtkyb1xbAVgkDLJImHNkwjOPYBrYAP3TGk0I5QeEFk+wktqGV3DBM1QE23H1DcXHK5Br0ssu4
gyzvU1mkrqkcng8EkT8y4BNBDArvoHMTXJO9G1BIonIXlyX+FVHw2oiZ2k/ZpayAR15FOrFai6Jl
o0Ax1DQXgcoajxFlzCGlzEqyFCBWwfWH2XLTUtxMaRZ8K8c+LV3DilC2Ow/jfKmH+L7U2dyC1KI9
mOvpaqB3dp0a/Te7KahZwk+xnWR39KxF/RroAs66PL70CYaFkDhOJjuna8qnEZpPYDt8xLLLyPV5
Y6QNTXihgElHdTWRvG9uWbznXQhiwMHYZ8ue65zC68pw500oO7AjmGsrlVpsbcjeqkzBepvcZTA6
1oAi7Q22fPplzfozR8eLChWKqUHfdpuY/JE0MPkiV1/qhFbukXru0BuqgEqo0RdNG64rSrxLF1U7
ndLosYlB4YvwxdbJveh8dB0qwNuif7EMXM1xf66/1smUAQC59Taa7A/3ivwRCBNmCdktrlMyvqi1
6sPwutJqzNJVlR3zlknE5Ey1ZEe5Rln55HY7ZwhPrmwxp9vggPyKpTBTpLPxqaDwfCr1kktXUWC3
NklOtoeGelMrLz4U6k7FRDTThh5SNsqOyu5P3BMBjN5+2zn1pqv5p4LyVDVVT0t0LNIY45mzB6tP
Ait9jxEtuNmQcqKFldIx+a6hmLWjoXXpRIDmyMsjy1tTuhsnWeeKdZmWBxpeaYKl1MBy7pI04v/M
A5yU/ClpJelYlsRqfOy2TG6vTGD7ZKqCRhbKGjTLLrJiFr/mtd24JIvEk2bwh8syWhGmx0zW0xpF
j0ADfwXLNAkzIDNOcZFDjGZw4HmAxi1Zdju7BMay5KGVNbi1LMRVUHdqgvizHmJDsZvbQUGTdki2
YasotjQXLUiO8MM1QViD1CoFiNTvUreGq1tW8hrtfFfIkl56ElhEMHeuXBp8FVnlW5rt3qHbV9Dx
G8uy30i41zNFKhXN4fRO63RyImto08mlJziWhcGKSXUwPqJtilV+NdMqjBXx3aBl2BbRu0vrsKlT
P6yEWD27unmD3wKtURepxUE8tkc+PvfRDOYl6d1HrXbQj7BCdu3G3RkRigYdb2OfUYlt1Del3RZQ
VMj+i01iWpryFI9VBTdaL7v2gGlC4PdPxOiOAakFZb6ZeXVK1UoU3yTnvooWsAC+62X4bzFyTBks
QVVpt4sXURgHoVghLeGXmSKCBMaAWWSDH47VMy1KJLncseG6HmmUqaYPRlveCRjIAevw703aPpkJ
bGxMe/xNkz7A4ryPHfONAN5lSjxUbEdGLZIeU6nDJyTLzGZliVFb4dqbOE5gJ2YqB1vHkcbrJ187
ZvPBYw3hxaem1cxVXpv+1DvnsU+uvcE5acSP8P6nbxotr51nnrRlZrqp6nfOFlSYHLtm6YKnTMxD
P6ifSziW2yUlIj2P7s4chwt+y5ghD72fq8SKuUb49Ch/tKLYGXZMPI3dRNB09sls8ludvmwyuuPa
Kiqx47l78gQ+E/rF1wj23W4Y+USnOt8QDtE6M6m86IgEIBKRya5Rd3SmXU/LXrOG9pf4OqPNO7Xm
lZiMvdWCW/Hc8ax0+EvLur8uLEqO55adszavxZycq0g9W2Rt8nI8m/q1TZG0sjR+2yrRYVSrp0xE
+z5OXnqnf6i9il0LfbAuzay2c4etZM3ce54b/TWptZ1HFWpgFNEeOuKyT4f8lR/wIU7A3TjMgpuY
nugjT4VXs6jGp2IZKSNt0iNW2srvkD/WAKuhwc1QK2ztuR5VjB/ZjaDANatdwD6oU8XsveRWdUqM
+KkQcbL6R8z/EvMNFPT/Q8x/+9bSPF32f4VR4Ct/XOpJJVOMwbDt/F6U9dOumsCyjW/uxz/hq34k
8AC6GXg94DrzXzzYUQl+iPno/F+7ZWJ7ktjP8vtvBB10iaL5s5jvUOkhfzq6n7FP/mp4gH5bdks1
kUajGWttknsIjDFONxIEWzhTj7874xPBzWZ8EWlxrNkrbm0W8DCJ6IsL6X7w/z9757nbRpau61tp
zP8yKgfgzACbUZRERYeW/xRoia6cc139fpZCW4G2uw8FbG6cw8YM0C2pirVqhS+8gUxbufI8cy7Z
RsJ8S2mekYKfwNXfGK46njlNve3MoppbYSQoqO611kjmOm0xFR5aVEZzktMzFB/moed/pvo979ha
F4FjH2NdeUzB9XvUD587PyHQjs6LuJyBljmiWoWiSUjlHIfMHG4aKjNIQMQzMPkVkiyY2MPD3oaW
/qkzpa9RK2271kdWhfN/2ndA4KFl3RUJULhIlgCFtfC9SvqtnZC7oR/wbfB1QYwzBXutrYll4I01
Q/bZT7JL1fTmZsa+YA0oSBdN3aJBumw8IGAr+otX7FZriNzbEUGYIb0wlRwaVhmdpY65QEf3S8LB
56ruLVr9H1v6kNhNfh88geOO1Uu7pBprN2wcrVd9Qg1enQxNTR8y9uNFX8c9aDUkuEqTE5ScZYba
NFVuWw6nWoxgsZw21mTM9BFuFRjAyg2duVQLB1h0xCJgadTwtWXTSOGVAdRv1gOAJ4ejk6IEoAmN
TNLWZREFGIJ18OeIX49HqYS118cTXcrkZdNXKxAaAe0VnKJ0oTnV3MtPpZ5keWu1GpMvYWVI6DIk
Rc7wteO010wwBH2AJJ5hf0dD+6j323O/FhDOpKqtde3WlfO1NMbgLokzALCOEjtoWSnuwqgQ37Hk
oJ9Wo9NMPXVIF7lORT8Z1eCT3dmfyzroOSucrxHGq9CZiXk6PcT9IW8Iogb7o5N2xOgGLGW3WcYE
2YgXKZ+kBtPUhpxn3rtjumy71LtKdArpVqWm55WID2XGUoNc3vtD9pEZAI5Tt7ACK+L+At8O1MWb
LkeKuv1WERqfWDhGQePwtwAUeiIhDK8CRzmT7MytJ3IDwVoiQrKcujkqG7c8Ukszvi7MIj5vMyv9
GKlDTbs2QJtWR+HLrgEamNJkbJCS8JCo7U3MxxpXQuedVtCkzobzrnbcqaRROU+izJkbgdqd1ECw
FwNeBcf1wKHg5tPCR89s0FGcRn+X2kUezjyd01ntdWmFWEX3FQ+wjsiscGeBXae03rPoNtKM6ihu
OtzRChtbbR87yrG252XtjDTXRsQ9KBqWl52muKe+p9lrux3wz7XABccSwDwU/WYUCMtFL9v9rCY+
Wkv2iJkVqlOTyOjH/99cFgVm2NjUW39+Hv1XzGn0lnT38GfPDiPA7eYj9l6zgAD+1VmGDm5Bt0P3
9bW6qEUZGeExwPcAqGSwlj8OI/xj0IqFj2c+qG78I/i9orxE3wngFAYG8NThpQsQnvYKF2/3SA/A
NmvOQ6Amx3bs6Osy7U/sNC6wcyw/m9S2irCOjlIc2cetnyFYfdmwUw4FlVVb6eNLx8/TSR0Nl7Wn
H9MRIxeKqaISkLYTi07vMohbnaKqv/BQa191EL9wFER8sOrwvZ06bZEuEgsEy/Xg5TdUX0jzESGa
WHUfIDyoUutpe2k8NoinfXc62EMAlSXCV8mVjmqp/E4zdJwGkuwuB1QlJr4SOQIi3H7OHds+UQMz
WttamuM5e503SJfP7WSQF7kiRNtLpCys1qFspGHyTV1OnaiiQ1wqzklklfW88JSpUav1wujzM9sA
cdKC/1+0MbUAya3JAfy0Oyq76kypKmdap8VN2Xmn1BDnohavVupa1r2TbqRWWod5g9kf4X5oUzlq
aJalAOoQR5VqGta1993tMvMrsKPWXRSiitfI0gicpyJsLZsrtOqvbSQ6mlVOhF5fBhhLHxkFahmF
bx4VBipA12aNQNLEb1yrnWgWDuWa0rUkvq7xHQWJboWcZbNs0iiajUl6MYTVGSi44zT2zwpZPbFr
aZFV3bGUmLNs9BaoH3FIIqoZ5Hddql4FtXPz/2Iw+xxeYmCV/Kt9Y7qJg+9ZmQYvMJcPf/W0bShC
CgxvWNY+Eg7CrOTHtoHSoWxA1iVYpdX0irWDzCFcGh1rtpeNKfWDgZ2rUHxAMUs4wf2TGFYILb4M
YbEJUhX2NZpmQEJ19qfnfal61LK8aJr+LO00Z952rg+aWAutiAS3ay+pbQ3HYd+m0VyGgXdTZ3r7
CZuiHnaGkxZfno3exVtyz9s9DF6TjKUW26WMMYv5ag/T0yGPHB8XSbVIlTNYb1iPN3Al/Gnf1nhK
tnBcbqw2p9BTJnYNYDMsCYrdsbJ0tPOs9M6p4bdzDZ++bhwrn0ZDspUlBQR3C3FR6Re//sbqmxSA
bwzcyHZUZNvIOV4B2SkX+LzboT7TegNinNmP8acWKJy2qK0hM6g09EjQAFwEammZwmc9kvHMbMtB
mZVtVt+BSq9osiM3OKvqIGsndeJT1AD0AlzSy0L/Imqc44SIr5pZsux8rvziJIo7o58HFXlAUPpt
svz1U705SiBYaTLEMLjiuBDfP/SzZqU1SF6Ht2Z1liKL+jlDQQxd6UhlatAv7y+6vnSuc1eJ//z1
bcVcey7yZCloY2PABp4YQwxVE1/r2W0NjFT0vPLSsxQpojMl8hvwJ6KZ5fq/gaqTAr65E2Q4JPgQ
7ccU+dU8y1NaOwhIZmf0A/RN0WVlvHRre1DpvgA/LRqscjV5sAlUNaNLfjdpXgL5hbkzE0U1VF3T
TRKz17cHlx34XpoEZ1YRGZskbAyooeI7GGNSzc0yyyb0KEJ/CZC5Q+Y6yqxtHTvVqoOrfdqbWglr
rQvpiIVWmlDEylW048DsbHN0cGecNOhFg+LQyyMDxb3moWrxU1KF8Lt+NXxELWwbZATYMFk6e9rz
FyWbjZEahiut6ZYkm6CscZ9XpAhG10QbhtQ7plISffNsJz/FSsNfmJneB1NVaa3vtTWOFF58DzAs
FJctQjXWXWvkvnX868mEQ+zrb6npEOaA7jnsraxOlBaff0uztAMZmI+2hk6Tu6BT4b9SI6tpnizq
tmmmZV/Il20yGEQaePRMSyVdIpeTL2M9B9kcF8lVHhsJsn1x530hgc/wVsIAN+eg/mRW8LjcInWn
TRaGAXVPLeygblfpWZdLFa1vKEGeh7wHBS4X4LXa+phqmDUluNC78IZUA6kK7PesdouPtUpOCdtO
ZSCDQWVv0GFTgMKxw9PYN+wbV270Yx9vKarjfetMO9mnYMvqClYS+S7CXQO2PkoHVG4M+9u8Kupr
Qg76r11SWwu3KoR5pqp+LHyli5auJQFmGf3I/YbzIIDkgLL81yaxAAbllbqKsjRfKYUT3wVtTqc4
15LoOnDcHo3ZQvdAF8OoBGpOKKarOEB3yJLrXVksFKVX6PVD2/SmQAbtYtqqvjtPKq2cNbmDUygE
TqS1sLvmqIEakspgBm38PP/sE9k/UTGuuTa02lg2Djj/RWUm48amVDCv5D4cF22EZoLU9/JGreLu
e+XluTEdVfSLJqmnth75PYU9res6nDXbxl4gHIZET60lRym/CnZfB8dutklrTcIqDBGecEGs4wAm
mqx17E5p3afJsjSjuac3gyySM52+JLL11EX1ol5odedU0P6s/hQI5xi7l2R4NW2PIQBnVN75rq+q
403VSb1FecUp2cqzW3WAegr+r6mbJpfP6qhGSeLYCXAbbSnxuKukDNCxDCkmXMvgKFbhoGkN2Gkn
dgnRZTSqRz+x7VnqupyHNXCKYo5BIiY1JVgkPFgLOMDZUTRYHWi6nm78qVnVGjMKXR6F/knDWbgw
JT90z1uWjik833NMnRUtgpSZxkFJwaHg8HLnfUsHBetH2CBYlMswNTME7pMp8u6duwCjHSfzijp0
tDBSZGan9miwY6ZqRDEn8Uvq8W1FceuioomVzDPs1b9LTWsF8kzOVGR3dbuxzwzJ9dzjVLNq3OSn
aV8V43BUyexu/jyn0ZfM3aodi4VTVtSzhthMhiO5qgCUG+oQo87XG0O8LIMikKa8VvWLlCc46lAV
xKOK/8nSObp4QFoaRCO+4A7tJCutdGrwFhABr8am1rRFKGWqcuJ3PppxE8tX/Xrplm2eXnMYa8ch
usLRosn5BnO0Rr0RuHs/ItMbDnm3xquHqS2xVMqZqyjNcakZ+Id7ruY1OGK3vM7AqohP0jHUxm0c
ATGmbVHHyQyFVb9YKXKgH3kBzaspgsCFNguywJ2NjYsrptSVOWg9F3gMIlUFeJckD0fqgm6sL5Tc
9UirfIfWmTL4Y7byA6AOqGjpWF+J35vQ6nNSpo+nFZTrAoSVSMKkr1TocI+YBKwj9UzBsxwEod3q
kvZxiDu1OTNzZwCNhPDD2mhSjiSvsiL+wEk0RssNfCW9ofyT+sfFkMTkTB0VpxOl9uqPFIyMjdG7
IPVtPLNRsEp7S5tX5hjw5RsFl89YK6JqagNiDNA+vom7jsgi9ML2ujLM7lte+tpRa3WeO4fpItPI
sl2uY8RZiGld2SpnY59r+mVVG8pHpUa/fkJtsrKnSCwhGNXSTQ6Oyl5Vu1WKkr16HkiW8zmVCzE5
w7ColtgG+9VFP+j0++Wi4934HdLws6xi04X/mTqf4cwzu/HtjEp6zw5CzxTWXBXKaRNFV3TbQHb2
OgDbdd3XIvj0h/7CgLPUz7Mu4dZZJrwsehXEEkbClnh48dUpjonvlSfKmW6kPEVTGAwVzYgIkdio
ZenksRcFl4CDWPJlQ1Tg8TP2VLVO/fMCPEqZolfly7zuruybdSL5OcRRuSl6KkRo/syHtlDFpsFi
mvJEbCA96rbEyXWafHZVzTm22wAQre0bEfNi8MxNl9IEmvQlzoda3cvVCYx6NTzJ8jQKr21Oi2WV
yspZ4XjFDSqgpmDm+oF6jI2Pg8OFn3ntbCitoiPAxSk9VxnWKQ4Vw20UR8ZF3yAge1TIQwvuzEwg
JuP2lXwfRkfsIQEE7Rl5gK3NAxUwyCI3E+cLBYBkgRwtKCsLGvN8KDv/Ksjq6sRJIjqOhlqqUIZi
A45I66vO5zKEik9DT8DCRsnFbQ28jFJsEzbk4ZiSCWuDBhVzJIQpX+C1AOaCQ6YrTpDjgFcGD6du
OWm1Fumhsgi/Qrh3PkoDYfrx6NSlcldXiJACv0dVZhV0qtAnS/DNBgUHsX2FZYMPzTES5emsbes1
IpjxdQjkY2Jb1ZGe9PDLx87k5UQy+gB4KEZZtk7NXj+ValnP5n6RJiAfhi73p7ZRJf5HIpHqTnZS
thG2zqqdRHTBKwRSWhtcH7WH69grlOBPPL80G/MUIrDhE+gLyeFilVvOfUuKvGPJzbtvvidLLXX4
CkJPAJEPCTQJglDZFNDbgrFhkgZACLSLPopBDCYmUpeTgpYYCpmKrwObILqp5p2f89Y6Ow2oq4yo
CdDirWLY6FpfgmOG/rMc7YLZH+m9Z80Gd5CrqZtXZvGlMwblY+gD4mA5BFDsYg+fihRcNhusmjvg
xfHzRiaquVGpCdvKJIpa65OhpkU36wyv1te6G9vtVeFCyudwZ0bP80DjbZI4DHhianWUnVpl7msX
ai/HJlp9mPVNgr6XvHVU4nU5QySWPYNorKnXsZB4BaYfURsB+ePPul6WV0Ohs+4HNAdBD7q+tb6P
St+bmLoObsusyr7X/0dc+TajRRp4fn3frPrxb8ttdkbhsnr9Sy/+pvrP/Y+9bTbb1JsX/0KfN6iH
y2ZbDlfbCpzmUzNM/Obf/eGj9evHId/++1+bO4QcCYbqMritRSPv/g4/bGGFEPnPy7DrbXqX3e4U
Vxd/+FRRQXwTx3pAazTkqHdSAHleUZHvTVxRIkEcDcOmp67gvWmsKlPQ0Uw456L196wraNEPFKxW
hfrs0yA81isYv58mRob5MueAPCsbmkpWSe3GcDCCe5VzWHHt2YnqSeeKBJexDpBa0Met2+GPFBkg
dBtNXhhKuCgHL4mB0eTllVMm0qVqCc4mYWhq0Qx0EmgOHKGzplLKL64dWMMtdYwaIKybYAyAXGyI
ri/anvbIAY30XqU7+pKSEe7xZQfSiX7OnDKJgxiB+meaR/KtV8TJtFD7fJH5VjzrYGtMWq81aYLw
u5pV6BM0zMuvuRCMVD3Ux0a/NY671DoOQ5xYO61cobKMiVEjLRsVQG6PjU9LFj2JHZwzY7Wd29Kw
HjzqNIllzNFFaM/sFBmJpAy9uSPbGqgTWABg8TF2RWdqwhFCwoiHo+2p40R1y3w+oreo1n11QSIF
PWCo4xtUxoZrRfkS6NSi6aieBYXnz0j7LsOx5kBUlfUgh6BNOrpWQX5bBYBWbPqShPO44bQGFCK7
H5e0+YLjFFOFCRIX/SoaKnleGYUWTchmuondy3jB5LY64bVI53RooXRggwPyFN8pwBeFIOxGbdZf
jnZoLaHGRJd9K59nue8fOREcXqhP/BE5QbCQJLZoEpEUB9IwhGJZusIBQrWEiWev27PKtoSKhO+P
KCOnuXsNbjtf4n+EVjATO10R77TLpMqCY9eU7DUq6sgn06xC94I/TtdK0biX6L7fkB8CTEnNjVcm
xqTD9gKgs3MTEZTN3Tr/LjtE7lCMT9GexNM2HM5jOcogcCTf/dGYFZpXnw+JjqAXwgZTvbQjgEsE
NlJrrsq2sI5VgyZkGw7XfjjwmpJkqfv8n1PaU6U3GnuiD52KommTd3yBWm1c9tW2U/U1ib10PCDe
osCI0FDsqdDCKOUBvxO64ho0LKzK8zCuT8vCkWcNE41GHqasJTXzE1PP0AvJsmVWUgUJ7bFZaj5i
HK01q1GPxQQRLH3XAxaKW09ZGLprg1xPFlLi3MFsRfo7ucya5pNLQ7bKLbUB7JafAfUeVqpZ4rqU
jUeS0Ql5LCP+KIcuYae9raX+JIitk0C3TgefliAkI/inA/3qkVzEhhuVnhpJ8nVspRPUJU4THyRa
0BjuOrXzasbZSejre9fEhR5uzfEK9dGjqOAlQQw7zoWkjxRa7kSN7I3XgCuszeC8byn99SkFf6lu
E2qZoO7MeIWABegXwBQozXVZpEwz+ztHE1tLsuAAXuDwOZXbCj0HVb7K4dn4ebiyWh3jVcSOFITg
/NqgBtDHn+xYPlf15hPODTaT1MnMc9eBJOPa4/e8UK7QUFoJGhgU+7lJkWQq+z04XWpMbbvxTW1p
lu0c4T5yVMO+qKL0ys7UO4d8HPC7IIMPV7oE6omWNequ40KKoInxjilvARRSaMBC3mmBGk44eG/H
YfhIsRkJxihclY1/AY7iPME12QqFyG52ZCXZlI0U7WJDvgT+CupnmALxXKWusBijMTJKS+xkjywT
GHWOD3PVLyRCAXai4NbEuyGGiiehtB35Fv4H2Xmay/hAydlSqWGyhY13ocLeD1rviO7qLMmk0xbK
FZnlpsC3Yoj6KSnOd1VXp26pzBDXmro1yoPxNnObKxBczEhsrMBhBR0I+cKaVfSdYJJwspZTai3n
YE5JI82F3hKyev2V3jtCdU6dgemqJmDXloleTh1izwkx8YT68sJ2CI2L4IwdbjFg3EtkMjNt2Ohe
5a80ZTjCYvJPWanBJtrXppn/SUfpyms55JM7iufbQsbhNO6VCSXGRWDmC5jZs8jTRQcLF2D/kuR6
nbXaleom3xUJUH+J+RYFkFyWjySnPbIraSH7hK6AnsiyPpV8UwtTWBrV+dyV2pNKbhYsxbPKsRfg
IY81d+CG+NHlDFifIjxbuOkEuMwtLJM/uZQO90CbDRXNc1YSABIC5SHtNlVaQTmXTqCPrEYEDDKk
DidtGS18zHImfo40Jx1E2vWmtVRr8FtN+rUuqIXk1ooGwjz34aVndXmU2rDA+ySbjIazVMIWRR/5
S1aGV5mkLF29BzTZMHbO3EvrI6s2mJ3WsjXayzSLT3I0mFqpuY4D68ju3XNXGAHoyXHrKmsknu1J
2mDNGwMxdmXQqCTXnX0Zls6ppvQ3uRmT+sjNVHXsT26JYGBZnaeVcYWKu0wSXF03cPfbPEuJlilQ
GfFpbHjHsV1g8xh761JsVGP25xDVFL5AVxD7N3VH0bmbVp3oPqcnMNs+lflwrKjZiaQCuAOC6X7z
qDVdV6AMRe3ruJQhMHToncLNkKTwzvfMT2GdWCu1Q9oMxb8bUJYTFTgOilFgzZU7M0H8qC7+jEp/
Bf3pnP02mMtltFS66oSMnnUJpnY6ysqNb1T5wtGijwliF5Oij5aRplyEEaTOyMlBAXXaAs3zI5cq
RqdKCekEambU7S2vA107qMKeAIOG9KL3zGXo9sd4393lUo6Wd7ipSwP4PgzGxK0osLXWHGHXeelL
KaaUNfQ/CkoxhwRE+6NWsu/aFtXMQF56rbXAr3qeZohAJVXYw9EZF32Sngy1d1LWxscMlalJCewn
JQmrgwh6ZCcdpyq8XzlmnUIgUjIkxOv1KHU3VZnfNnY590Jav27cr8nHEVeWOf6ehbSPMeMfaZNc
ZBhIVf/+18va+UOEiPYuAr2aRW/vtfJR3ZVl2QSpdC4nR0EY4WZ4JWHK+OubvGzgPN3EVBR6eoS2
qvmy9E3VDSKqrkjnvf2t7JZdc9Nn3z1tlrT+b+60K+DVlB93etWzydxsUEaXO6n2ma8PaEegYTuu
MvNz2HwNMvOBAfnzCPtFTf/xwVhNBq1K6ACvH0y1M+RJ4sy7aKWvdXNSeLdpfPvrsdv1RETLBMvC
vIkGzcuxc02rl50h9y9afRp2SxAS8xjgZ+ItAxQr1Po3LtU75gM9XpIWjSkhum0vb9dCA1EHuQ4u
gtSbBFqBeMoyj37zTC+7lPfD9uIm4ufPOmsVqATDdLlJWJbIpZ+Gjj/79aj97jHEz5/dAaHeGpdM
7lDmaxjP0yj7iA79b24i+ko/GoRvH+PVq8kjoVCXVMFFL+FNYsC4vdADKiLWjYGsfXWuNtVv7rjr
scCdYR2MmgDeW+S0zx8rCvCbSkMluLCKy0L2qNCtLPf7Px86uKv0kWl60ut/NXQuVA0TUZjwAo0b
KNRUjrNpF3/69U12DR3+iA6II0VD0ubVTTK4XVYQ9CHv5yY10YQg92AzcNzrsDnRgcR37uWv7yjm
1OuX9fyOr16Wj+demStDeCH3Eu2AL+hH/WYzeNOHRMlDsbAlwmgIaBbCYy/fTpXpfuT3SnIRnpar
esXhuc6mxty49K+MaToPFvZUWvz6qXZNiOdP9eqWPjJOfQ13/qI1kVKEfavS4FOzo1/fZffYITki
c3Iij/fqbZmjYlp1IocXbgEhXjmx7fo3YydG//Xb0WnhAkjBqsR6PbHp8QXKUEnhBUYCk8FWiTa/
BjrcijD8zbPsGrHnd3q1wZER48JjmeGFYmx9+9Jwr4vxN9vb7lsg20Ivn5VkvZpqgRK1tj560UWa
nhuARHuB/WrM3xx1u5YQk+2vu7x69VHZ+jXix9FFEN3GcJg0aV7q+EtQ0q0vpGgZG795R28eC4F/
4OVo6XIUKWjqvpzequNaWDVl8UXdLovya2eiVnL1Dyfaq1tQS3u+v6Wtx4D6RXwBq5QWvgfr0PjN
sL2Zy/e30GxWDQEPdbaXtwj7HqkFMq2LKr6VxpXZPZIofhoTvJnK3MAG6M86ofD2BoXP1ml1Sjom
F8R5SWNM/XAV4JaSOtv7sXrv2u3/vqqsgIr+vCp7FbRbyMt3jNbrcq74w6eqLDg3HSMipI1k9uLn
6FjF+gBCSgWy5oDFRVXhr6KspqO7xJIFhCMEljQBjnuiamDoy6tEz8Fkf7+v174qxP6qMHt/vP3Y
7kDcEMjBJGG3M03BC3m1Cfkq+r5to6nrMiuK3DqVgFdTj3Ow1U3we9fDCC6WqkWI+bkKyM6uQRxp
GBRrgji0cU7tJD5vMpxiADpIK4P+3bqJpGHWqVV6ghB7cj1oaXfe9Hp+mgZ1dktDtDtWky661pWu
PAHrQje27q2tq9LzzXRE9pSwpDRjUcj96ssguyi4wc0ruxwptXgZqUo3G+PU+Na2pvJd0oLxSq3M
oCErhpqLfTikN9uBk2XiJq6GKppyYTINfCu6SJLG/agS5F019+aacgiYrFrGlrDdHHMfdd3ywY8T
MWsPd069gb6BrD4YRZw7h3sbT8oR7WVZoh6MW7tw+nRHYfpJ0SFEe4mO9CcpHKGsFG2ERWhPY7Cc
dKWwDjVaDpMIZ+KVLpxFsRJSZxYIfJHG2nVezJTUgHvflo5x0kLW3bhhgEMR7LkcBSME3SZS0Zrw
wINU00ACV+Fq8AHFg2PVr0alQoZAbQ18A6zwtg5j/zg3SdvXBjXxlV3YQXs1hrayGEoDpuTUZ2LS
q3doBUrL/y07wuOmtbNR89fCED+9T0M/Zm+6OX/rl55W3O4L/aPOjwhhXuwx91/svvf0y+vEG3pU
zR29Jc1mGwFrBmT2X3/EWeo9/neJKOYDP7AU0tDn72/3t37b6frZEL3n07Pf7Pn0EAlsEedSZ7z/
8KgvB0EI36kiJ36417MZ8n/3gH9noH756l6fFsbrY+YfTwGaeESqSPKQjN1/CMFeDgJepcwPgIkH
OxMIf/abCQwC4TJaR0S7D5+3g8CBibg3mtfic6hDIWCj+w0FssSKJoTMn4aCWs7L+aB8gHJD6OwQ
dHCvw1sUQqhqz0GwCbzutSmBf4sP6//lICDrTNqiCw2rAx2Eh7fzEPH/tW3/w8NBvGfYuPTxxefN
9ogPitCTJjg91EHY+4TE0MXSFCSzKST9bGcwNdIkMJSHOggPU3SfmYDNnSkLo2jk/sXnzXKQgY9A
njFFPZHPwW6PD+9oj6HgpEDWDtNsUu/7D9XL1zsD5AN4RKKOfpjb497HJTkmdEj4TYCVdy4Kxflg
UpZANu4xqDjQoZDfY2lADFUJjh5mvrxjPuAVxTgIGthBzgfBCdrzuCSQJoCkUPEQHb3dH3DQhNYC
+few9wdt//kANZHXDbj28dB8vVVSuSHloK7+EKkdXvSk7R84WHheCOgfvO6d2wNoQ2YKp6qQ7DzM
NbH3QaEJZ3LiJ5UK3O5BQDpdSJORVBzoIIhlvOfGYH9ACJVcgpL77tNS/iCaTORWhzoICvnPnoNg
fmAMcGWyHo+IN3E01sMmMtq0kw90JogGw56D4HwAJYwfAKCg+8+bMgOKwrqN+Jd2sOfk/rk18hRU
Ri2e8SeDoH4QUGsKcocaQRvvcUKKVAE6MuIa4vO6wEDwqDqILyLadJDLYYfyyT+uumnWB3o65ExP
aeWb5cBMQF6bHs9BjoEhv1Ej++djYJNKmRibcgDcf96MASekI/7RHtLOQ10T6v5HhIaBGKUW2xST
i8+bNcF8MTQZ8/eDHYT9Nwb7Aw1nodDxMAYCevIitRYbg0pMCeTmQBeFvP85SUeG44F08mczwaEx
g7EOVYgDHQR1/3PS/sBbFgvisTHzOokSIoaAPRUZe6H7z4EOhRBj2TNuop1vqKpQu3l40jc7A6uG
Nj+tuocQ+2D3h72TCUqxNOqIEAE23H9IGV7sD5hSUINg4QiKGMN+eLm1uv98YA80VYvw6TGZ2LU0
sAxnFA41o3pDWPznkQM9KrE9Im3zkFYy6V/OBO0DQjSmpokz5CBngmi477kz3Auvwr38WRxNlQWb
NRtZkMOMo5nA+wdOpmjPAObEbfnh82omEDPgv8o/Auh6kDPhMenfoydBMoG4FAVYkGD3n9dnBDMB
92BRrz/UmaA/pDn7DAJVFnDLADsfT4cdgwDyl7rk4W6M+w+C9UHDYUlIav5kJshUIED0AvG+3zkP
NVow9h8K8wMleAHX+Am4577MIDwjjUONFpT9UyoGgdornZefFKEZBJOfAfY42INy/2yC7jUqBRCC
3gSMnJCgwPFWP9Qqi/Ie6wBzVAYAmN/D5/UJKWr0QHhZCgd6Qj7WPPY5HHCyo5bG/s+SehkpAn/D
nxZBtodt4lA3RCEyume8CGTJUWH5kTbff15nDooBysMglGKgxOdQh0K02PccCnYEGnOgGn9SZKG+
YBiA/dgXD3RNKHtXmgTwE5IArPE32yI9bCQ0kaR6jCIOdAyMhwx3n31BJJIKU56a4v2HqfVye2Ai
oMtpg/g50EF4bJftMwj3WEbLYHN49fRgFSDP2oAZHsOHAx0DQX/Zb0cQMD+UzSzIew+HJOHQy4mg
U1GAXo7i9IEOwiPebJ+JQCkRO3ZBLHxYDa9PCPJItgS2TftQB+Gx8rfPIBjCd0AcDQ+noDgGX8wE
QmYMb6gxPhbzDq/KqD8EcvsMAvQyHYIX7Oyf7ouyLOrOwgnoIMsqjx30/QZB1NUJDX+WTOOXRP5I
rfVga0v7VxmZ7USMtNx+NhOghygGaveCIfw/PxOeEyp3WA38nVIz6/0HQQq0HjsBTgI/ryKYCoZZ
hBFP2dX//CCwO78mCsn7dx7wAFMdIfT3mEeSmL/YGGm/gOigaQdWXHwONXR+Q839O5NCBIY/ZoUG
cQxVQnjxD583ZwR1OCBvVFUOtVMtTBX2C5moOguKODKPj6DfN4MA5AsbHltl87j/HML+sGNpoE+5
71CYgo0teDKPacSbwAnOFGwhUztcOM/+MYNBcIisMCi+3YuC/QGKnUxSfaiLQtk/j6C+DnQD65LH
neHNTGAQ+DEeGf+g4Po3Qsy/uMc4pcZ399TkYFs906H97S88UXPfXuDZYXJ/pL74TSFS+3DthyNH
/Pt/XmrW3jfin/30qTF/f6fHv398xLc3f3Gzp+d6+o9HwbbclLf+cP+D4fGLCgHff//r1wZk9yK6
uwV2/9oWf331PEi3O85Z9tUfj/pWvffvXTzZ3GXl04V+SP2KI3XviyPNX+/64n/tjHuMCuZNG5Qt
NtXT93z23VkJe393zDeaavN0oWcXp6z7DhdHRHLzB7YL9a5bcErsfYvZNv7jLCt3jj97z97Xn8d/
zLKSyfN0rWdDxH6z9/UX5bZKd12c02Pviy/jbZo+XefZF+e02PvaR03yLYvv6qdL/bi8KKTufflV
km/LYBM/XerZ5d9jya4wkNhx6fdYsSfbcseYizLK3oNygrrejo1AdDX3vvbpJtqxhwmMxztcuqq2
u8bkPRboaVb98V+pt423u0bmPZboenPHBvw0Ds8m4nss0fWmDHYNzXssUXHtPNu1u4tcZe/X+jsh
/H0DgvW2vN3ePX3RH+Mu6sX7f/kMEf+n6zy79nss03W2a0cX/nTv8LXTeltuh6dLPfvm77FSzzb5
joku6uB7f/Ozbbt5a16LPc57LNHzcsMW8PQtnw3KeyzRi3hzu90RO4qka+9huYibZFdwJ/hhe1/8
d6Jo+67Q680tou58zR1nqWCz7P0A15v0j8lWSJE9XezHu9XeY6k+3KBMN+XdTkcPQV9+l6eYBVtv
10O8x6oVD7FgBdwG1e2ue7zH8hX3OM7QlN91Wgm++7uM0mkTVH+cfwuqfNdzvMdiFs+x3tTbXdd/
j/XM9evNH5NN+W2zK2YQ6pjvMVLcYxrvvsN7hMcPTzEtm/Hp6/5YdwJYuv8j+JudOaH+LouaGsbO
wX+XxRxUkfCsfhqEZwPzLms5ize7ogfB5t5/1AlMkh0HvJB32v/i9SYNqnjTVE8XezY077J0RZll
xzksFLr2/vYft/5m19AI5fv9L06Mj4fV05V+jIsQm9v/6g07wY7gR0Aw3+HiFIiSXXU5AfLd+/Kf
uUKza60KVvTeV7/J4h37vBB53P/SzbcdC0ngp35z6V1l2b+IVW+LtU/6hrv+7GUtWvzGbbzdlP/5
bwAAAP//</cx:binary>
              </cx:geoCache>
            </cx:geography>
          </cx:layoutPr>
        </cx:series>
      </cx:plotAreaRegion>
    </cx:plotArea>
  </cx:chart>
  <cx:spPr>
    <a:ln>
      <a:solidFill>
        <a:schemeClr val="lt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25400</xdr:colOff>
      <xdr:row>48</xdr:row>
      <xdr:rowOff>101600</xdr:rowOff>
    </xdr:to>
    <xdr:sp macro="" textlink="">
      <xdr:nvSpPr>
        <xdr:cNvPr id="2" name="Rectangle 1">
          <a:extLst>
            <a:ext uri="{FF2B5EF4-FFF2-40B4-BE49-F238E27FC236}">
              <a16:creationId xmlns:a16="http://schemas.microsoft.com/office/drawing/2014/main" id="{D44CA5D9-7CF7-D22F-EF0A-C713FACE8639}"/>
            </a:ext>
          </a:extLst>
        </xdr:cNvPr>
        <xdr:cNvSpPr/>
      </xdr:nvSpPr>
      <xdr:spPr>
        <a:xfrm>
          <a:off x="0" y="0"/>
          <a:ext cx="2882900" cy="9245600"/>
        </a:xfrm>
        <a:prstGeom prst="rect">
          <a:avLst/>
        </a:prstGeom>
        <a:solidFill>
          <a:schemeClr val="accent1">
            <a:lumMod val="50000"/>
          </a:schemeClr>
        </a:solidFill>
        <a:effectLst>
          <a:outerShdw blurRad="50800" dist="38100" dir="2700000" algn="tl" rotWithShape="0">
            <a:prstClr val="black">
              <a:alpha val="4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50800</xdr:colOff>
      <xdr:row>0</xdr:row>
      <xdr:rowOff>0</xdr:rowOff>
    </xdr:from>
    <xdr:to>
      <xdr:col>26</xdr:col>
      <xdr:colOff>0</xdr:colOff>
      <xdr:row>48</xdr:row>
      <xdr:rowOff>119063</xdr:rowOff>
    </xdr:to>
    <xdr:sp macro="" textlink="">
      <xdr:nvSpPr>
        <xdr:cNvPr id="3" name="Rectangle 2">
          <a:extLst>
            <a:ext uri="{FF2B5EF4-FFF2-40B4-BE49-F238E27FC236}">
              <a16:creationId xmlns:a16="http://schemas.microsoft.com/office/drawing/2014/main" id="{8510B5B4-DF3A-0F3B-B06B-B456F2311AE0}"/>
            </a:ext>
          </a:extLst>
        </xdr:cNvPr>
        <xdr:cNvSpPr/>
      </xdr:nvSpPr>
      <xdr:spPr>
        <a:xfrm>
          <a:off x="2908300" y="0"/>
          <a:ext cx="18813992" cy="9009063"/>
        </a:xfrm>
        <a:prstGeom prst="rect">
          <a:avLst/>
        </a:prstGeom>
        <a:solidFill>
          <a:schemeClr val="accent1"/>
        </a:solidFill>
        <a:effectLst>
          <a:outerShdw blurRad="50800" dist="38100" dir="2700000" algn="tl" rotWithShape="0">
            <a:prstClr val="black">
              <a:alpha val="4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114300</xdr:colOff>
      <xdr:row>4</xdr:row>
      <xdr:rowOff>25400</xdr:rowOff>
    </xdr:from>
    <xdr:to>
      <xdr:col>1</xdr:col>
      <xdr:colOff>2197100</xdr:colOff>
      <xdr:row>6</xdr:row>
      <xdr:rowOff>12700</xdr:rowOff>
    </xdr:to>
    <xdr:sp macro="" textlink="Pivot!G4">
      <xdr:nvSpPr>
        <xdr:cNvPr id="4" name="Rectangle 3">
          <a:extLst>
            <a:ext uri="{FF2B5EF4-FFF2-40B4-BE49-F238E27FC236}">
              <a16:creationId xmlns:a16="http://schemas.microsoft.com/office/drawing/2014/main" id="{9248F9E8-4727-CD18-26D6-71BF3C6FD29A}"/>
            </a:ext>
          </a:extLst>
        </xdr:cNvPr>
        <xdr:cNvSpPr/>
      </xdr:nvSpPr>
      <xdr:spPr>
        <a:xfrm>
          <a:off x="381000" y="787400"/>
          <a:ext cx="2082800" cy="368300"/>
        </a:xfrm>
        <a:prstGeom prst="rect">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04C9B30-B283-C643-8BBD-587EEBC93103}" type="TxLink">
            <a:rPr lang="en-US" sz="1800" b="1" i="0" u="none" strike="noStrike">
              <a:solidFill>
                <a:schemeClr val="bg1"/>
              </a:solidFill>
              <a:latin typeface="Aptos Narrow"/>
            </a:rPr>
            <a:t>2,400</a:t>
          </a:fld>
          <a:endParaRPr lang="en-GB" sz="1800" b="1">
            <a:solidFill>
              <a:schemeClr val="bg1"/>
            </a:solidFill>
          </a:endParaRPr>
        </a:p>
      </xdr:txBody>
    </xdr:sp>
    <xdr:clientData/>
  </xdr:twoCellAnchor>
  <xdr:twoCellAnchor>
    <xdr:from>
      <xdr:col>1</xdr:col>
      <xdr:colOff>101600</xdr:colOff>
      <xdr:row>8</xdr:row>
      <xdr:rowOff>76200</xdr:rowOff>
    </xdr:from>
    <xdr:to>
      <xdr:col>1</xdr:col>
      <xdr:colOff>2184400</xdr:colOff>
      <xdr:row>10</xdr:row>
      <xdr:rowOff>12700</xdr:rowOff>
    </xdr:to>
    <xdr:sp macro="" textlink="Pivot!H4">
      <xdr:nvSpPr>
        <xdr:cNvPr id="7" name="Rectangle 6">
          <a:extLst>
            <a:ext uri="{FF2B5EF4-FFF2-40B4-BE49-F238E27FC236}">
              <a16:creationId xmlns:a16="http://schemas.microsoft.com/office/drawing/2014/main" id="{695D742D-2A13-D1B2-93B1-03DCBC303FD7}"/>
            </a:ext>
          </a:extLst>
        </xdr:cNvPr>
        <xdr:cNvSpPr/>
      </xdr:nvSpPr>
      <xdr:spPr>
        <a:xfrm>
          <a:off x="368300" y="1600200"/>
          <a:ext cx="2082800" cy="317500"/>
        </a:xfrm>
        <a:prstGeom prst="rect">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763409B-EEC1-7E4D-B1CF-C57E34035893}" type="TxLink">
            <a:rPr lang="en-US" sz="1800" b="1" i="0" u="none" strike="noStrike">
              <a:solidFill>
                <a:schemeClr val="bg1"/>
              </a:solidFill>
              <a:latin typeface="Aptos Narrow"/>
              <a:ea typeface="+mn-ea"/>
              <a:cs typeface="+mn-cs"/>
            </a:rPr>
            <a:pPr marL="0" indent="0" algn="l"/>
            <a:t>11,997</a:t>
          </a:fld>
          <a:endParaRPr lang="en-GB" sz="1800" b="1" i="0" u="none" strike="noStrike">
            <a:solidFill>
              <a:schemeClr val="bg1"/>
            </a:solidFill>
            <a:latin typeface="Aptos Narrow"/>
            <a:ea typeface="+mn-ea"/>
            <a:cs typeface="+mn-cs"/>
          </a:endParaRPr>
        </a:p>
      </xdr:txBody>
    </xdr:sp>
    <xdr:clientData/>
  </xdr:twoCellAnchor>
  <xdr:twoCellAnchor>
    <xdr:from>
      <xdr:col>1</xdr:col>
      <xdr:colOff>101600</xdr:colOff>
      <xdr:row>12</xdr:row>
      <xdr:rowOff>12700</xdr:rowOff>
    </xdr:from>
    <xdr:to>
      <xdr:col>1</xdr:col>
      <xdr:colOff>2184400</xdr:colOff>
      <xdr:row>14</xdr:row>
      <xdr:rowOff>0</xdr:rowOff>
    </xdr:to>
    <xdr:sp macro="" textlink="Pivot!I4">
      <xdr:nvSpPr>
        <xdr:cNvPr id="8" name="Rectangle 7">
          <a:extLst>
            <a:ext uri="{FF2B5EF4-FFF2-40B4-BE49-F238E27FC236}">
              <a16:creationId xmlns:a16="http://schemas.microsoft.com/office/drawing/2014/main" id="{14B63A66-E320-EE53-F69C-8A67A6C4B081}"/>
            </a:ext>
          </a:extLst>
        </xdr:cNvPr>
        <xdr:cNvSpPr/>
      </xdr:nvSpPr>
      <xdr:spPr>
        <a:xfrm>
          <a:off x="368300" y="2298700"/>
          <a:ext cx="2082800" cy="368300"/>
        </a:xfrm>
        <a:prstGeom prst="rect">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1CA280E-CAAA-5749-B9EE-227DDFF78FE8}" type="TxLink">
            <a:rPr lang="en-US" sz="1800" b="1" i="0" u="none" strike="noStrike">
              <a:solidFill>
                <a:schemeClr val="bg1"/>
              </a:solidFill>
              <a:latin typeface="Aptos Narrow"/>
              <a:ea typeface="+mn-ea"/>
              <a:cs typeface="+mn-cs"/>
            </a:rPr>
            <a:pPr marL="0" indent="0" algn="l"/>
            <a:t>$649.0K</a:t>
          </a:fld>
          <a:endParaRPr lang="en-GB" sz="1800" b="1" i="0" u="none" strike="noStrike">
            <a:solidFill>
              <a:schemeClr val="bg1"/>
            </a:solidFill>
            <a:latin typeface="Aptos Narrow"/>
            <a:ea typeface="+mn-ea"/>
            <a:cs typeface="+mn-cs"/>
          </a:endParaRPr>
        </a:p>
      </xdr:txBody>
    </xdr:sp>
    <xdr:clientData/>
  </xdr:twoCellAnchor>
  <xdr:twoCellAnchor>
    <xdr:from>
      <xdr:col>1</xdr:col>
      <xdr:colOff>101600</xdr:colOff>
      <xdr:row>16</xdr:row>
      <xdr:rowOff>25400</xdr:rowOff>
    </xdr:from>
    <xdr:to>
      <xdr:col>1</xdr:col>
      <xdr:colOff>2184400</xdr:colOff>
      <xdr:row>17</xdr:row>
      <xdr:rowOff>152400</xdr:rowOff>
    </xdr:to>
    <xdr:sp macro="" textlink="Pivot!J4">
      <xdr:nvSpPr>
        <xdr:cNvPr id="9" name="Rectangle 8">
          <a:extLst>
            <a:ext uri="{FF2B5EF4-FFF2-40B4-BE49-F238E27FC236}">
              <a16:creationId xmlns:a16="http://schemas.microsoft.com/office/drawing/2014/main" id="{AD6DA738-5192-E1CF-3B96-0EDED772BC78}"/>
            </a:ext>
          </a:extLst>
        </xdr:cNvPr>
        <xdr:cNvSpPr/>
      </xdr:nvSpPr>
      <xdr:spPr>
        <a:xfrm>
          <a:off x="368300" y="3073400"/>
          <a:ext cx="2082800" cy="317500"/>
        </a:xfrm>
        <a:prstGeom prst="rect">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7FC65CA-2AC0-BA45-A944-8961C0ADF6FD}" type="TxLink">
            <a:rPr lang="en-US" sz="1800" b="0" i="0" u="none" strike="noStrike">
              <a:solidFill>
                <a:schemeClr val="bg1"/>
              </a:solidFill>
              <a:latin typeface="Aptos Narrow"/>
            </a:rPr>
            <a:t>4</a:t>
          </a:fld>
          <a:endParaRPr lang="en-GB" sz="1800" b="1">
            <a:solidFill>
              <a:schemeClr val="bg1"/>
            </a:solidFill>
          </a:endParaRPr>
        </a:p>
      </xdr:txBody>
    </xdr:sp>
    <xdr:clientData/>
  </xdr:twoCellAnchor>
  <xdr:twoCellAnchor>
    <xdr:from>
      <xdr:col>1</xdr:col>
      <xdr:colOff>101600</xdr:colOff>
      <xdr:row>20</xdr:row>
      <xdr:rowOff>12700</xdr:rowOff>
    </xdr:from>
    <xdr:to>
      <xdr:col>1</xdr:col>
      <xdr:colOff>2184400</xdr:colOff>
      <xdr:row>21</xdr:row>
      <xdr:rowOff>139700</xdr:rowOff>
    </xdr:to>
    <xdr:sp macro="" textlink="Pivot!K4">
      <xdr:nvSpPr>
        <xdr:cNvPr id="10" name="Rectangle 9">
          <a:extLst>
            <a:ext uri="{FF2B5EF4-FFF2-40B4-BE49-F238E27FC236}">
              <a16:creationId xmlns:a16="http://schemas.microsoft.com/office/drawing/2014/main" id="{E8459642-9392-4874-D4B1-98ED348318CD}"/>
            </a:ext>
          </a:extLst>
        </xdr:cNvPr>
        <xdr:cNvSpPr/>
      </xdr:nvSpPr>
      <xdr:spPr>
        <a:xfrm>
          <a:off x="368300" y="3822700"/>
          <a:ext cx="2082800" cy="317500"/>
        </a:xfrm>
        <a:prstGeom prst="rect">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8C1165D-3073-E941-A5A3-059B487CC7D0}" type="TxLink">
            <a:rPr lang="en-US" sz="1800" b="0" i="0" u="none" strike="noStrike">
              <a:solidFill>
                <a:schemeClr val="bg1"/>
              </a:solidFill>
              <a:latin typeface="Aptos Narrow"/>
            </a:rPr>
            <a:t>2</a:t>
          </a:fld>
          <a:endParaRPr lang="en-GB" sz="1800" b="1">
            <a:solidFill>
              <a:schemeClr val="bg1"/>
            </a:solidFill>
          </a:endParaRPr>
        </a:p>
      </xdr:txBody>
    </xdr:sp>
    <xdr:clientData/>
  </xdr:twoCellAnchor>
  <xdr:twoCellAnchor>
    <xdr:from>
      <xdr:col>1</xdr:col>
      <xdr:colOff>101600</xdr:colOff>
      <xdr:row>2</xdr:row>
      <xdr:rowOff>139700</xdr:rowOff>
    </xdr:from>
    <xdr:to>
      <xdr:col>1</xdr:col>
      <xdr:colOff>2184400</xdr:colOff>
      <xdr:row>4</xdr:row>
      <xdr:rowOff>127000</xdr:rowOff>
    </xdr:to>
    <xdr:sp macro="" textlink="Pivot!G4">
      <xdr:nvSpPr>
        <xdr:cNvPr id="11" name="Rectangle 10">
          <a:extLst>
            <a:ext uri="{FF2B5EF4-FFF2-40B4-BE49-F238E27FC236}">
              <a16:creationId xmlns:a16="http://schemas.microsoft.com/office/drawing/2014/main" id="{5611503F-2BFB-8F25-716E-08870FCD59B3}"/>
            </a:ext>
          </a:extLst>
        </xdr:cNvPr>
        <xdr:cNvSpPr/>
      </xdr:nvSpPr>
      <xdr:spPr>
        <a:xfrm>
          <a:off x="368300" y="520700"/>
          <a:ext cx="2082800" cy="368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bg1"/>
              </a:solidFill>
              <a:latin typeface="Aptos Narrow"/>
            </a:rPr>
            <a:t>Orders</a:t>
          </a:r>
          <a:endParaRPr lang="en-GB" sz="1400" b="1">
            <a:solidFill>
              <a:schemeClr val="bg1"/>
            </a:solidFill>
          </a:endParaRPr>
        </a:p>
      </xdr:txBody>
    </xdr:sp>
    <xdr:clientData/>
  </xdr:twoCellAnchor>
  <xdr:twoCellAnchor>
    <xdr:from>
      <xdr:col>1</xdr:col>
      <xdr:colOff>101600</xdr:colOff>
      <xdr:row>6</xdr:row>
      <xdr:rowOff>139700</xdr:rowOff>
    </xdr:from>
    <xdr:to>
      <xdr:col>1</xdr:col>
      <xdr:colOff>2184400</xdr:colOff>
      <xdr:row>8</xdr:row>
      <xdr:rowOff>38100</xdr:rowOff>
    </xdr:to>
    <xdr:sp macro="" textlink="Pivot!G4">
      <xdr:nvSpPr>
        <xdr:cNvPr id="12" name="Rectangle 11">
          <a:extLst>
            <a:ext uri="{FF2B5EF4-FFF2-40B4-BE49-F238E27FC236}">
              <a16:creationId xmlns:a16="http://schemas.microsoft.com/office/drawing/2014/main" id="{732D2670-54D7-7B4E-847F-16D0A2AD73E6}"/>
            </a:ext>
          </a:extLst>
        </xdr:cNvPr>
        <xdr:cNvSpPr/>
      </xdr:nvSpPr>
      <xdr:spPr>
        <a:xfrm>
          <a:off x="368300" y="1282700"/>
          <a:ext cx="2082800" cy="279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bg1"/>
              </a:solidFill>
              <a:latin typeface="Aptos Narrow"/>
            </a:rPr>
            <a:t>Quantity</a:t>
          </a:r>
          <a:endParaRPr lang="en-GB" sz="1400" b="1">
            <a:solidFill>
              <a:schemeClr val="bg1"/>
            </a:solidFill>
          </a:endParaRPr>
        </a:p>
      </xdr:txBody>
    </xdr:sp>
    <xdr:clientData/>
  </xdr:twoCellAnchor>
  <xdr:twoCellAnchor>
    <xdr:from>
      <xdr:col>1</xdr:col>
      <xdr:colOff>101600</xdr:colOff>
      <xdr:row>10</xdr:row>
      <xdr:rowOff>88900</xdr:rowOff>
    </xdr:from>
    <xdr:to>
      <xdr:col>1</xdr:col>
      <xdr:colOff>2184400</xdr:colOff>
      <xdr:row>11</xdr:row>
      <xdr:rowOff>177800</xdr:rowOff>
    </xdr:to>
    <xdr:sp macro="" textlink="Pivot!G4">
      <xdr:nvSpPr>
        <xdr:cNvPr id="13" name="Rectangle 12">
          <a:extLst>
            <a:ext uri="{FF2B5EF4-FFF2-40B4-BE49-F238E27FC236}">
              <a16:creationId xmlns:a16="http://schemas.microsoft.com/office/drawing/2014/main" id="{095AB402-DDFB-B647-88C3-E06CB93E0147}"/>
            </a:ext>
          </a:extLst>
        </xdr:cNvPr>
        <xdr:cNvSpPr/>
      </xdr:nvSpPr>
      <xdr:spPr>
        <a:xfrm>
          <a:off x="368300" y="1993900"/>
          <a:ext cx="2082800" cy="279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bg1"/>
              </a:solidFill>
              <a:latin typeface="Aptos Narrow"/>
            </a:rPr>
            <a:t>Amount</a:t>
          </a:r>
          <a:endParaRPr lang="en-GB" sz="1400" b="1">
            <a:solidFill>
              <a:schemeClr val="bg1"/>
            </a:solidFill>
          </a:endParaRPr>
        </a:p>
      </xdr:txBody>
    </xdr:sp>
    <xdr:clientData/>
  </xdr:twoCellAnchor>
  <xdr:twoCellAnchor>
    <xdr:from>
      <xdr:col>1</xdr:col>
      <xdr:colOff>101600</xdr:colOff>
      <xdr:row>14</xdr:row>
      <xdr:rowOff>88900</xdr:rowOff>
    </xdr:from>
    <xdr:to>
      <xdr:col>1</xdr:col>
      <xdr:colOff>2184400</xdr:colOff>
      <xdr:row>15</xdr:row>
      <xdr:rowOff>177800</xdr:rowOff>
    </xdr:to>
    <xdr:sp macro="" textlink="Pivot!G4">
      <xdr:nvSpPr>
        <xdr:cNvPr id="14" name="Rectangle 13">
          <a:extLst>
            <a:ext uri="{FF2B5EF4-FFF2-40B4-BE49-F238E27FC236}">
              <a16:creationId xmlns:a16="http://schemas.microsoft.com/office/drawing/2014/main" id="{5BB33E5B-B3D0-2E4F-AEA6-436F6C4AC153}"/>
            </a:ext>
          </a:extLst>
        </xdr:cNvPr>
        <xdr:cNvSpPr/>
      </xdr:nvSpPr>
      <xdr:spPr>
        <a:xfrm>
          <a:off x="368300" y="2755900"/>
          <a:ext cx="2082800" cy="279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rPr>
            <a:t>Avg.</a:t>
          </a:r>
          <a:r>
            <a:rPr lang="en-GB" sz="1400" b="1" baseline="0">
              <a:solidFill>
                <a:schemeClr val="bg1"/>
              </a:solidFill>
            </a:rPr>
            <a:t> Rating</a:t>
          </a:r>
          <a:endParaRPr lang="en-GB" sz="1400" b="1">
            <a:solidFill>
              <a:schemeClr val="bg1"/>
            </a:solidFill>
          </a:endParaRPr>
        </a:p>
      </xdr:txBody>
    </xdr:sp>
    <xdr:clientData/>
  </xdr:twoCellAnchor>
  <xdr:twoCellAnchor>
    <xdr:from>
      <xdr:col>1</xdr:col>
      <xdr:colOff>101600</xdr:colOff>
      <xdr:row>18</xdr:row>
      <xdr:rowOff>114300</xdr:rowOff>
    </xdr:from>
    <xdr:to>
      <xdr:col>1</xdr:col>
      <xdr:colOff>2184400</xdr:colOff>
      <xdr:row>20</xdr:row>
      <xdr:rowOff>12700</xdr:rowOff>
    </xdr:to>
    <xdr:sp macro="" textlink="Pivot!G4">
      <xdr:nvSpPr>
        <xdr:cNvPr id="15" name="Rectangle 14">
          <a:extLst>
            <a:ext uri="{FF2B5EF4-FFF2-40B4-BE49-F238E27FC236}">
              <a16:creationId xmlns:a16="http://schemas.microsoft.com/office/drawing/2014/main" id="{CC72B16E-117C-F747-BBA1-A10C87C20A51}"/>
            </a:ext>
          </a:extLst>
        </xdr:cNvPr>
        <xdr:cNvSpPr/>
      </xdr:nvSpPr>
      <xdr:spPr>
        <a:xfrm>
          <a:off x="368300" y="3543300"/>
          <a:ext cx="2082800" cy="279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bg1"/>
              </a:solidFill>
              <a:latin typeface="Aptos Narrow"/>
            </a:rPr>
            <a:t>Days to Deliver</a:t>
          </a:r>
        </a:p>
        <a:p>
          <a:pPr algn="l"/>
          <a:endParaRPr lang="en-GB" sz="1400" b="1">
            <a:solidFill>
              <a:schemeClr val="bg1"/>
            </a:solidFill>
          </a:endParaRPr>
        </a:p>
      </xdr:txBody>
    </xdr:sp>
    <xdr:clientData/>
  </xdr:twoCellAnchor>
  <xdr:twoCellAnchor>
    <xdr:from>
      <xdr:col>3</xdr:col>
      <xdr:colOff>127000</xdr:colOff>
      <xdr:row>0</xdr:row>
      <xdr:rowOff>63500</xdr:rowOff>
    </xdr:from>
    <xdr:to>
      <xdr:col>9</xdr:col>
      <xdr:colOff>533400</xdr:colOff>
      <xdr:row>20</xdr:row>
      <xdr:rowOff>165100</xdr:rowOff>
    </xdr:to>
    <xdr:graphicFrame macro="">
      <xdr:nvGraphicFramePr>
        <xdr:cNvPr id="16" name="Chart 15">
          <a:extLst>
            <a:ext uri="{FF2B5EF4-FFF2-40B4-BE49-F238E27FC236}">
              <a16:creationId xmlns:a16="http://schemas.microsoft.com/office/drawing/2014/main" id="{40557DB6-14FE-DD49-8544-A7F732D48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635000</xdr:colOff>
      <xdr:row>0</xdr:row>
      <xdr:rowOff>88900</xdr:rowOff>
    </xdr:from>
    <xdr:to>
      <xdr:col>16</xdr:col>
      <xdr:colOff>88900</xdr:colOff>
      <xdr:row>20</xdr:row>
      <xdr:rowOff>152400</xdr:rowOff>
    </xdr:to>
    <xdr:sp macro="" textlink="">
      <xdr:nvSpPr>
        <xdr:cNvPr id="18" name="Rectangle 17">
          <a:extLst>
            <a:ext uri="{FF2B5EF4-FFF2-40B4-BE49-F238E27FC236}">
              <a16:creationId xmlns:a16="http://schemas.microsoft.com/office/drawing/2014/main" id="{B179B72B-39BC-77C2-E549-8203A416F25B}"/>
            </a:ext>
          </a:extLst>
        </xdr:cNvPr>
        <xdr:cNvSpPr/>
      </xdr:nvSpPr>
      <xdr:spPr>
        <a:xfrm>
          <a:off x="8445500" y="88900"/>
          <a:ext cx="5232400" cy="3873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a:solidFill>
                <a:schemeClr val="tx1"/>
              </a:solidFill>
            </a:rPr>
            <a:t>How</a:t>
          </a:r>
          <a:r>
            <a:rPr lang="en-GB" sz="1600" baseline="0">
              <a:solidFill>
                <a:schemeClr val="tx1"/>
              </a:solidFill>
            </a:rPr>
            <a:t> They Like To Buy?</a:t>
          </a:r>
          <a:endParaRPr lang="en-GB" sz="1600">
            <a:solidFill>
              <a:schemeClr val="tx1"/>
            </a:solidFill>
          </a:endParaRPr>
        </a:p>
      </xdr:txBody>
    </xdr:sp>
    <xdr:clientData/>
  </xdr:twoCellAnchor>
  <xdr:twoCellAnchor editAs="oneCell">
    <xdr:from>
      <xdr:col>9</xdr:col>
      <xdr:colOff>736599</xdr:colOff>
      <xdr:row>3</xdr:row>
      <xdr:rowOff>139700</xdr:rowOff>
    </xdr:from>
    <xdr:to>
      <xdr:col>16</xdr:col>
      <xdr:colOff>0</xdr:colOff>
      <xdr:row>12</xdr:row>
      <xdr:rowOff>127000</xdr:rowOff>
    </xdr:to>
    <xdr:pic>
      <xdr:nvPicPr>
        <xdr:cNvPr id="17" name="Picture 16">
          <a:extLst>
            <a:ext uri="{FF2B5EF4-FFF2-40B4-BE49-F238E27FC236}">
              <a16:creationId xmlns:a16="http://schemas.microsoft.com/office/drawing/2014/main" id="{DC9036D8-8603-6A87-B508-88BFB30AF6B8}"/>
            </a:ext>
          </a:extLst>
        </xdr:cNvPr>
        <xdr:cNvPicPr>
          <a:picLocks noChangeAspect="1"/>
        </xdr:cNvPicPr>
      </xdr:nvPicPr>
      <xdr:blipFill>
        <a:blip xmlns:r="http://schemas.openxmlformats.org/officeDocument/2006/relationships" r:embed="rId2"/>
        <a:stretch>
          <a:fillRect/>
        </a:stretch>
      </xdr:blipFill>
      <xdr:spPr>
        <a:xfrm>
          <a:off x="8547099" y="711200"/>
          <a:ext cx="5041901" cy="1701800"/>
        </a:xfrm>
        <a:prstGeom prst="rect">
          <a:avLst/>
        </a:prstGeom>
      </xdr:spPr>
    </xdr:pic>
    <xdr:clientData/>
  </xdr:twoCellAnchor>
  <xdr:twoCellAnchor>
    <xdr:from>
      <xdr:col>16</xdr:col>
      <xdr:colOff>254000</xdr:colOff>
      <xdr:row>0</xdr:row>
      <xdr:rowOff>101600</xdr:rowOff>
    </xdr:from>
    <xdr:to>
      <xdr:col>25</xdr:col>
      <xdr:colOff>495300</xdr:colOff>
      <xdr:row>20</xdr:row>
      <xdr:rowOff>165100</xdr:rowOff>
    </xdr:to>
    <xdr:graphicFrame macro="">
      <xdr:nvGraphicFramePr>
        <xdr:cNvPr id="19" name="Chart 18">
          <a:extLst>
            <a:ext uri="{FF2B5EF4-FFF2-40B4-BE49-F238E27FC236}">
              <a16:creationId xmlns:a16="http://schemas.microsoft.com/office/drawing/2014/main" id="{CDA51BF5-CE91-8048-B91A-7248F6756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165100</xdr:colOff>
      <xdr:row>24</xdr:row>
      <xdr:rowOff>38100</xdr:rowOff>
    </xdr:from>
    <xdr:to>
      <xdr:col>9</xdr:col>
      <xdr:colOff>520700</xdr:colOff>
      <xdr:row>45</xdr:row>
      <xdr:rowOff>12700</xdr:rowOff>
    </xdr:to>
    <xdr:graphicFrame macro="">
      <xdr:nvGraphicFramePr>
        <xdr:cNvPr id="20" name="Chart 19">
          <a:extLst>
            <a:ext uri="{FF2B5EF4-FFF2-40B4-BE49-F238E27FC236}">
              <a16:creationId xmlns:a16="http://schemas.microsoft.com/office/drawing/2014/main" id="{2D7897B2-BC51-2243-AE36-983194D47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132291</xdr:colOff>
      <xdr:row>34</xdr:row>
      <xdr:rowOff>103718</xdr:rowOff>
    </xdr:from>
    <xdr:to>
      <xdr:col>8</xdr:col>
      <xdr:colOff>87313</xdr:colOff>
      <xdr:row>44</xdr:row>
      <xdr:rowOff>66146</xdr:rowOff>
    </xdr:to>
    <xdr:graphicFrame macro="">
      <xdr:nvGraphicFramePr>
        <xdr:cNvPr id="21" name="Chart 20">
          <a:extLst>
            <a:ext uri="{FF2B5EF4-FFF2-40B4-BE49-F238E27FC236}">
              <a16:creationId xmlns:a16="http://schemas.microsoft.com/office/drawing/2014/main" id="{8D7B7E10-FFF3-AD43-AF7E-999DA7217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736600</xdr:colOff>
      <xdr:row>24</xdr:row>
      <xdr:rowOff>63500</xdr:rowOff>
    </xdr:from>
    <xdr:to>
      <xdr:col>16</xdr:col>
      <xdr:colOff>114300</xdr:colOff>
      <xdr:row>45</xdr:row>
      <xdr:rowOff>50800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89953415-5920-B04B-B81A-54C0D4F96E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547100" y="4635500"/>
              <a:ext cx="5156200" cy="39878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355600</xdr:colOff>
      <xdr:row>30</xdr:row>
      <xdr:rowOff>12700</xdr:rowOff>
    </xdr:from>
    <xdr:to>
      <xdr:col>15</xdr:col>
      <xdr:colOff>812800</xdr:colOff>
      <xdr:row>36</xdr:row>
      <xdr:rowOff>165100</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214592B3-4A94-8340-919D-816FFA73C3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293600" y="5727700"/>
              <a:ext cx="1282700" cy="12954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342900</xdr:colOff>
      <xdr:row>24</xdr:row>
      <xdr:rowOff>25400</xdr:rowOff>
    </xdr:from>
    <xdr:to>
      <xdr:col>21</xdr:col>
      <xdr:colOff>50800</xdr:colOff>
      <xdr:row>45</xdr:row>
      <xdr:rowOff>25400</xdr:rowOff>
    </xdr:to>
    <xdr:graphicFrame macro="">
      <xdr:nvGraphicFramePr>
        <xdr:cNvPr id="24" name="Chart 23">
          <a:extLst>
            <a:ext uri="{FF2B5EF4-FFF2-40B4-BE49-F238E27FC236}">
              <a16:creationId xmlns:a16="http://schemas.microsoft.com/office/drawing/2014/main" id="{A522D716-072B-B24F-AE07-FE720174F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279400</xdr:colOff>
      <xdr:row>24</xdr:row>
      <xdr:rowOff>50800</xdr:rowOff>
    </xdr:from>
    <xdr:to>
      <xdr:col>25</xdr:col>
      <xdr:colOff>558800</xdr:colOff>
      <xdr:row>45</xdr:row>
      <xdr:rowOff>25400</xdr:rowOff>
    </xdr:to>
    <xdr:graphicFrame macro="">
      <xdr:nvGraphicFramePr>
        <xdr:cNvPr id="25" name="Chart 24">
          <a:extLst>
            <a:ext uri="{FF2B5EF4-FFF2-40B4-BE49-F238E27FC236}">
              <a16:creationId xmlns:a16="http://schemas.microsoft.com/office/drawing/2014/main" id="{7D3B1507-760E-9A43-A9FF-C359F30DB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25400</xdr:colOff>
      <xdr:row>22</xdr:row>
      <xdr:rowOff>101600</xdr:rowOff>
    </xdr:from>
    <xdr:to>
      <xdr:col>1</xdr:col>
      <xdr:colOff>2209800</xdr:colOff>
      <xdr:row>31</xdr:row>
      <xdr:rowOff>12700</xdr:rowOff>
    </xdr:to>
    <mc:AlternateContent xmlns:mc="http://schemas.openxmlformats.org/markup-compatibility/2006">
      <mc:Choice xmlns:a14="http://schemas.microsoft.com/office/drawing/2010/main" Requires="a14">
        <xdr:graphicFrame macro="">
          <xdr:nvGraphicFramePr>
            <xdr:cNvPr id="26" name="Order Mode">
              <a:extLst>
                <a:ext uri="{FF2B5EF4-FFF2-40B4-BE49-F238E27FC236}">
                  <a16:creationId xmlns:a16="http://schemas.microsoft.com/office/drawing/2014/main" id="{A8B01510-D90B-5A4D-8B8B-66DBF84EEA9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289983" y="4176183"/>
              <a:ext cx="2184400" cy="1577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31</xdr:row>
      <xdr:rowOff>139701</xdr:rowOff>
    </xdr:from>
    <xdr:to>
      <xdr:col>1</xdr:col>
      <xdr:colOff>2184400</xdr:colOff>
      <xdr:row>39</xdr:row>
      <xdr:rowOff>50801</xdr:rowOff>
    </xdr:to>
    <mc:AlternateContent xmlns:mc="http://schemas.openxmlformats.org/markup-compatibility/2006">
      <mc:Choice xmlns:a14="http://schemas.microsoft.com/office/drawing/2010/main" Requires="a14">
        <xdr:graphicFrame macro="">
          <xdr:nvGraphicFramePr>
            <xdr:cNvPr id="27" name="Gender Value">
              <a:extLst>
                <a:ext uri="{FF2B5EF4-FFF2-40B4-BE49-F238E27FC236}">
                  <a16:creationId xmlns:a16="http://schemas.microsoft.com/office/drawing/2014/main" id="{D8E89B94-9335-6B45-AAF3-55D6E2A27041}"/>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302683" y="5881159"/>
              <a:ext cx="2146300" cy="13927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1" refreshedDate="46111.72755891204" createdVersion="8" refreshedVersion="8" minRefreshableVersion="3" recordCount="2400" xr:uid="{5F028D8D-E718-9B49-98D0-92134E3BC626}">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598492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40AC37-7383-B645-9785-D9DBC59106EA}" name="pvtDuration"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4:B60"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sd="0" x="0"/>
        <item sd="0" x="1"/>
        <item x="2"/>
        <item x="4"/>
        <item x="3"/>
        <item n="6 TO 10" sd="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BFE603-5B92-F543-B361-8D81E3F53258}" name="pvtMap" cacheId="3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0">
  <location ref="M20:P70"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8"/>
        <item x="1"/>
        <item x="13"/>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h="1" x="3"/>
        <item h="1"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0">
    <i>
      <x/>
      <x/>
    </i>
    <i r="1">
      <x v="1"/>
    </i>
    <i r="1">
      <x v="2"/>
    </i>
    <i r="1">
      <x v="3"/>
    </i>
    <i r="1">
      <x v="4"/>
    </i>
    <i r="1">
      <x v="5"/>
    </i>
    <i r="1">
      <x v="6"/>
    </i>
    <i r="1">
      <x v="7"/>
    </i>
    <i r="1">
      <x v="8"/>
    </i>
    <i r="1">
      <x v="9"/>
    </i>
    <i r="1">
      <x v="11"/>
    </i>
    <i r="1">
      <x v="12"/>
    </i>
    <i r="1">
      <x v="13"/>
    </i>
    <i r="1">
      <x v="14"/>
    </i>
    <i r="1">
      <x v="15"/>
    </i>
    <i r="1">
      <x v="16"/>
    </i>
    <i r="1">
      <x v="18"/>
    </i>
    <i r="1">
      <x v="19"/>
    </i>
    <i r="1">
      <x v="20"/>
    </i>
    <i r="1">
      <x v="21"/>
    </i>
    <i r="1">
      <x v="22"/>
    </i>
    <i r="1">
      <x v="23"/>
    </i>
    <i r="1">
      <x v="26"/>
    </i>
    <i r="1">
      <x v="27"/>
    </i>
    <i r="1">
      <x v="28"/>
    </i>
    <i r="1">
      <x v="29"/>
    </i>
    <i r="1">
      <x v="30"/>
    </i>
    <i r="1">
      <x v="31"/>
    </i>
    <i r="1">
      <x v="32"/>
    </i>
    <i r="1">
      <x v="33"/>
    </i>
    <i r="1">
      <x v="34"/>
    </i>
    <i r="1">
      <x v="35"/>
    </i>
    <i r="1">
      <x v="36"/>
    </i>
    <i r="1">
      <x v="37"/>
    </i>
    <i r="1">
      <x v="38"/>
    </i>
    <i r="1">
      <x v="39"/>
    </i>
    <i r="1">
      <x v="40"/>
    </i>
    <i r="1">
      <x v="41"/>
    </i>
    <i r="1">
      <x v="42"/>
    </i>
    <i r="1">
      <x v="43"/>
    </i>
    <i r="1">
      <x v="44"/>
    </i>
    <i r="1">
      <x v="46"/>
    </i>
    <i r="1">
      <x v="47"/>
    </i>
    <i r="1">
      <x v="48"/>
    </i>
    <i r="1">
      <x v="49"/>
    </i>
    <i r="1">
      <x v="50"/>
    </i>
    <i r="1">
      <x v="53"/>
    </i>
    <i r="1">
      <x v="54"/>
    </i>
    <i r="1">
      <x v="55"/>
    </i>
    <i r="1">
      <x v="56"/>
    </i>
  </rowItems>
  <colFields count="1">
    <field x="-2"/>
  </colFields>
  <colItems count="2">
    <i>
      <x/>
    </i>
    <i i="1">
      <x v="1"/>
    </i>
  </colItems>
  <dataFields count="2">
    <dataField name="Sum of Quantity" fld="2" baseField="0" baseItem="0"/>
    <dataField name="Sum of Amount" fld="4" baseField="0" baseItem="0"/>
  </dataFields>
  <chartFormats count="4">
    <chartFormat chart="3"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49681D-783F-1248-915B-B4667FF5A267}" name="pvtGender"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10:N15"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8"/>
        <item x="1"/>
        <item x="13"/>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2">
    <chartFormat chart="3" format="5"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14" count="1" selected="0">
            <x v="0"/>
          </reference>
        </references>
      </pivotArea>
    </chartFormat>
    <chartFormat chart="7" format="1" series="1">
      <pivotArea type="data" outline="0" fieldPosition="0">
        <references count="2">
          <reference field="4294967294" count="1" selected="0">
            <x v="0"/>
          </reference>
          <reference field="14" count="1" selected="0">
            <x v="1"/>
          </reference>
        </references>
      </pivotArea>
    </chartFormat>
    <chartFormat chart="7" format="2" series="1">
      <pivotArea type="data" outline="0" fieldPosition="0">
        <references count="2">
          <reference field="4294967294" count="1" selected="0">
            <x v="0"/>
          </reference>
          <reference field="14" count="1" selected="0">
            <x v="2"/>
          </reference>
        </references>
      </pivotArea>
    </chartFormat>
    <chartFormat chart="7" format="3" series="1">
      <pivotArea type="data" outline="0" fieldPosition="0">
        <references count="2">
          <reference field="4294967294" count="1" selected="0">
            <x v="0"/>
          </reference>
          <reference field="14" count="1" selected="0">
            <x v="3"/>
          </reference>
        </references>
      </pivotArea>
    </chartFormat>
    <chartFormat chart="10" format="0" series="1">
      <pivotArea type="data" outline="0" fieldPosition="0">
        <references count="2">
          <reference field="4294967294" count="1" selected="0">
            <x v="0"/>
          </reference>
          <reference field="14" count="1" selected="0">
            <x v="0"/>
          </reference>
        </references>
      </pivotArea>
    </chartFormat>
    <chartFormat chart="10" format="1" series="1">
      <pivotArea type="data" outline="0" fieldPosition="0">
        <references count="2">
          <reference field="4294967294" count="1" selected="0">
            <x v="0"/>
          </reference>
          <reference field="14" count="1" selected="0">
            <x v="1"/>
          </reference>
        </references>
      </pivotArea>
    </chartFormat>
    <chartFormat chart="10" format="2" series="1">
      <pivotArea type="data" outline="0" fieldPosition="0">
        <references count="2">
          <reference field="4294967294" count="1" selected="0">
            <x v="0"/>
          </reference>
          <reference field="14" count="1" selected="0">
            <x v="2"/>
          </reference>
        </references>
      </pivotArea>
    </chartFormat>
    <chartFormat chart="10" format="3" series="1">
      <pivotArea type="data" outline="0" fieldPosition="0">
        <references count="2">
          <reference field="4294967294" count="1" selected="0">
            <x v="0"/>
          </reference>
          <reference field="14" count="1" selected="0">
            <x v="3"/>
          </reference>
        </references>
      </pivotArea>
    </chartFormat>
    <chartFormat chart="11" format="4" series="1">
      <pivotArea type="data" outline="0" fieldPosition="0">
        <references count="2">
          <reference field="4294967294" count="1" selected="0">
            <x v="0"/>
          </reference>
          <reference field="14" count="1" selected="0">
            <x v="0"/>
          </reference>
        </references>
      </pivotArea>
    </chartFormat>
    <chartFormat chart="11" format="5" series="1">
      <pivotArea type="data" outline="0" fieldPosition="0">
        <references count="2">
          <reference field="4294967294" count="1" selected="0">
            <x v="0"/>
          </reference>
          <reference field="14" count="1" selected="0">
            <x v="1"/>
          </reference>
        </references>
      </pivotArea>
    </chartFormat>
    <chartFormat chart="11" format="6" series="1">
      <pivotArea type="data" outline="0" fieldPosition="0">
        <references count="2">
          <reference field="4294967294" count="1" selected="0">
            <x v="0"/>
          </reference>
          <reference field="14" count="1" selected="0">
            <x v="2"/>
          </reference>
        </references>
      </pivotArea>
    </chartFormat>
    <chartFormat chart="11" format="7" series="1">
      <pivotArea type="data" outline="0" fieldPosition="0">
        <references count="2">
          <reference field="4294967294" count="1" selected="0">
            <x v="0"/>
          </reference>
          <reference field="14" count="1" selected="0">
            <x v="3"/>
          </reference>
        </references>
      </pivotArea>
    </chartFormat>
    <chartFormat chart="12" format="8" series="1">
      <pivotArea type="data" outline="0" fieldPosition="0">
        <references count="2">
          <reference field="4294967294" count="1" selected="0">
            <x v="0"/>
          </reference>
          <reference field="14" count="1" selected="0">
            <x v="0"/>
          </reference>
        </references>
      </pivotArea>
    </chartFormat>
    <chartFormat chart="12" format="9" series="1">
      <pivotArea type="data" outline="0" fieldPosition="0">
        <references count="2">
          <reference field="4294967294" count="1" selected="0">
            <x v="0"/>
          </reference>
          <reference field="14" count="1" selected="0">
            <x v="1"/>
          </reference>
        </references>
      </pivotArea>
    </chartFormat>
    <chartFormat chart="12" format="10" series="1">
      <pivotArea type="data" outline="0" fieldPosition="0">
        <references count="2">
          <reference field="4294967294" count="1" selected="0">
            <x v="0"/>
          </reference>
          <reference field="14" count="1" selected="0">
            <x v="2"/>
          </reference>
        </references>
      </pivotArea>
    </chartFormat>
    <chartFormat chart="12" format="11" series="1">
      <pivotArea type="data" outline="0" fieldPosition="0">
        <references count="2">
          <reference field="4294967294" count="1" selected="0">
            <x v="0"/>
          </reference>
          <reference field="14"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4" count="1" selected="0">
            <x v="0"/>
          </reference>
        </references>
      </pivotArea>
    </chartFormat>
    <chartFormat chart="16" format="8">
      <pivotArea type="data" outline="0" fieldPosition="0">
        <references count="2">
          <reference field="4294967294" count="1" selected="0">
            <x v="0"/>
          </reference>
          <reference field="14" count="1" selected="0">
            <x v="1"/>
          </reference>
        </references>
      </pivotArea>
    </chartFormat>
    <chartFormat chart="16" format="9">
      <pivotArea type="data" outline="0" fieldPosition="0">
        <references count="2">
          <reference field="4294967294" count="1" selected="0">
            <x v="0"/>
          </reference>
          <reference field="14" count="1" selected="0">
            <x v="2"/>
          </reference>
        </references>
      </pivotArea>
    </chartFormat>
    <chartFormat chart="16"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68A719-3887-E840-9632-C4FF60331A31}" name="pvtProduct"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10:J32"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8"/>
        <item x="1"/>
        <item x="13"/>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6"/>
    </i>
    <i>
      <x v="13"/>
    </i>
    <i>
      <x v="12"/>
    </i>
    <i>
      <x v="17"/>
    </i>
    <i>
      <x v="1"/>
    </i>
    <i>
      <x v="3"/>
    </i>
    <i>
      <x v="5"/>
    </i>
    <i>
      <x v="14"/>
    </i>
    <i>
      <x v="4"/>
    </i>
    <i>
      <x v="11"/>
    </i>
    <i>
      <x v="2"/>
    </i>
    <i>
      <x v="8"/>
    </i>
    <i>
      <x v="19"/>
    </i>
    <i>
      <x v="9"/>
    </i>
    <i>
      <x v="18"/>
    </i>
    <i>
      <x v="15"/>
    </i>
    <i>
      <x/>
    </i>
    <i>
      <x v="10"/>
    </i>
    <i>
      <x v="7"/>
    </i>
    <i t="grand">
      <x/>
    </i>
  </rowItems>
  <colFields count="1">
    <field x="14"/>
  </colFields>
  <colItems count="5">
    <i>
      <x/>
    </i>
    <i>
      <x v="1"/>
    </i>
    <i>
      <x v="2"/>
    </i>
    <i>
      <x v="3"/>
    </i>
    <i t="grand">
      <x/>
    </i>
  </colItems>
  <dataFields count="1">
    <dataField name="Sum of Quantity" fld="2" baseField="0" baseItem="0"/>
  </dataFields>
  <chartFormats count="5">
    <chartFormat chart="3" format="5" series="1">
      <pivotArea type="data" outline="0" fieldPosition="0">
        <references count="1">
          <reference field="4294967294" count="1" selected="0">
            <x v="0"/>
          </reference>
        </references>
      </pivotArea>
    </chartFormat>
    <chartFormat chart="12" format="8" series="1">
      <pivotArea type="data" outline="0" fieldPosition="0">
        <references count="2">
          <reference field="4294967294" count="1" selected="0">
            <x v="0"/>
          </reference>
          <reference field="14" count="1" selected="0">
            <x v="0"/>
          </reference>
        </references>
      </pivotArea>
    </chartFormat>
    <chartFormat chart="12" format="9" series="1">
      <pivotArea type="data" outline="0" fieldPosition="0">
        <references count="2">
          <reference field="4294967294" count="1" selected="0">
            <x v="0"/>
          </reference>
          <reference field="14" count="1" selected="0">
            <x v="1"/>
          </reference>
        </references>
      </pivotArea>
    </chartFormat>
    <chartFormat chart="12" format="10" series="1">
      <pivotArea type="data" outline="0" fieldPosition="0">
        <references count="2">
          <reference field="4294967294" count="1" selected="0">
            <x v="0"/>
          </reference>
          <reference field="14" count="1" selected="0">
            <x v="2"/>
          </reference>
        </references>
      </pivotArea>
    </chartFormat>
    <chartFormat chart="12"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A77393-FCA5-E84A-8E5A-07276C96C6E6}" name="pvtQty"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B38" firstHeaderRow="1" firstDataRow="1" firstDataCol="1"/>
  <pivotFields count="18">
    <pivotField dataField="1" showAll="0"/>
    <pivotField showAll="0"/>
    <pivotField axis="axisRow"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sd="0" x="0"/>
        <item sd="0" x="1"/>
        <item x="2"/>
        <item x="4"/>
        <item x="3"/>
        <item n="6 TO 10" sd="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5"/>
    <field x="2"/>
  </rowFields>
  <rowItems count="11">
    <i>
      <x/>
    </i>
    <i>
      <x v="1"/>
    </i>
    <i>
      <x v="2"/>
    </i>
    <i r="1">
      <x v="2"/>
    </i>
    <i>
      <x v="3"/>
    </i>
    <i r="1">
      <x v="3"/>
    </i>
    <i>
      <x v="4"/>
    </i>
    <i r="1">
      <x v="4"/>
    </i>
    <i>
      <x v="5"/>
    </i>
    <i>
      <x v="6"/>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69719C-7192-3A4C-A42B-05CF3C969AEA}" name="pvtTrend"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C24"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dataField name="Sum of Quantity" fld="2" baseField="0" baseItem="0"/>
  </dataFields>
  <formats count="2">
    <format dxfId="12">
      <pivotArea collapsedLevelsAreSubtotals="1" fieldPosition="0">
        <references count="2">
          <reference field="4294967294" count="1" selected="0">
            <x v="0"/>
          </reference>
          <reference field="13" count="0"/>
        </references>
      </pivotArea>
    </format>
    <format dxfId="13">
      <pivotArea field="13" grandRow="1" outline="0" collapsedLevelsAreSubtotals="1" axis="axisRow"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C71DAB-4754-DB4E-A88D-97A0D7D72C1E}" name="pvtSummary"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Average of Days to Deliver" fld="12" subtotal="average" baseField="0" baseItem="0"/>
    <dataField name="Average of Rating C" fld="9" subtotal="average" baseField="0" baseItem="0"/>
    <dataField name="Sum of Amount" fld="4" baseField="0" baseItem="0"/>
    <dataField name="Sum of Quantity" fld="2" baseField="0" baseItem="0"/>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20DD8D-8A7C-AA4A-954D-59F861750C87}" name="pvtRating"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8:G23"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sd="0" x="0"/>
        <item sd="0" x="1"/>
        <item x="2"/>
        <item x="4"/>
        <item x="3"/>
        <item n="6 TO 10" sd="0" x="5"/>
        <item n="More than 10" sd="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0" format="13" series="1">
      <pivotArea type="data" outline="0" fieldPosition="0">
        <references count="2">
          <reference field="4294967294" count="1" selected="0">
            <x v="0"/>
          </reference>
          <reference field="9" count="1" selected="0">
            <x v="0"/>
          </reference>
        </references>
      </pivotArea>
    </chartFormat>
    <chartFormat chart="10" format="14" series="1">
      <pivotArea type="data" outline="0" fieldPosition="0">
        <references count="2">
          <reference field="4294967294" count="1" selected="0">
            <x v="0"/>
          </reference>
          <reference field="9" count="1" selected="0">
            <x v="1"/>
          </reference>
        </references>
      </pivotArea>
    </chartFormat>
    <chartFormat chart="10" format="15" series="1">
      <pivotArea type="data" outline="0" fieldPosition="0">
        <references count="2">
          <reference field="4294967294" count="1" selected="0">
            <x v="0"/>
          </reference>
          <reference field="9" count="1" selected="0">
            <x v="2"/>
          </reference>
        </references>
      </pivotArea>
    </chartFormat>
    <chartFormat chart="10" format="16" series="1">
      <pivotArea type="data" outline="0" fieldPosition="0">
        <references count="2">
          <reference field="4294967294" count="1" selected="0">
            <x v="0"/>
          </reference>
          <reference field="9" count="1" selected="0">
            <x v="3"/>
          </reference>
        </references>
      </pivotArea>
    </chartFormat>
    <chartFormat chart="10"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D0E937-C1AB-9B42-81B4-C9CC2780495E}" name="pvtMatrix"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items count="21">
        <item x="14"/>
        <item x="10"/>
        <item x="12"/>
        <item x="15"/>
        <item x="4"/>
        <item x="7"/>
        <item x="6"/>
        <item x="19"/>
        <item x="18"/>
        <item x="11"/>
        <item x="17"/>
        <item x="5"/>
        <item x="0"/>
        <item x="2"/>
        <item x="9"/>
        <item x="16"/>
        <item x="8"/>
        <item x="1"/>
        <item x="13"/>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22B833A3-77CF-8E4E-9DD4-B66B0D05B749}" sourceName="Order Mode">
  <pivotTables>
    <pivotTable tabId="8" name="pvtRating"/>
    <pivotTable tabId="6" name="pvtDuration"/>
    <pivotTable tabId="6" name="pvtGender"/>
    <pivotTable tabId="6" name="pvtMap"/>
    <pivotTable tabId="6" name="pvtProduct"/>
    <pivotTable tabId="6" name="pvtQty"/>
  </pivotTables>
  <data>
    <tabular pivotCacheId="1598492224">
      <items count="5">
        <i x="0" s="1"/>
        <i x="3"/>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BB4A4BB5-EC8E-4448-A159-01FA042FC57F}" sourceName="Gender Value">
  <pivotTables>
    <pivotTable tabId="8" name="pvtRating"/>
    <pivotTable tabId="6" name="pvtDuration"/>
    <pivotTable tabId="6" name="pvtMap"/>
    <pivotTable tabId="6" name="pvtQty"/>
    <pivotTable tabId="6" name="pvtSummary"/>
    <pivotTable tabId="6" name="pvtTrend"/>
  </pivotTables>
  <data>
    <tabular pivotCacheId="159849222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7727C4ED-2ABB-0F42-B156-7A3764F5525D}" cache="Slicer_Order_Mode" caption="Order Mode" rowHeight="230716"/>
  <slicer name="Gender Value" xr10:uid="{C92E96BB-FC6A-0244-99F0-9FC4E1B45EE0}" cache="Slicer_Gender_Value" caption="Gender Valu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18"/>
    <tableColumn id="7" xr3:uid="{43BB5DBF-46E1-4185-80C0-4361F55A385C}" name="Ship Date" dataDxfId="1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16">
      <calculatedColumnFormula>orders[[#This Row],[Ship Date]]-orders[[#This Row],[Order Date]]</calculatedColumnFormula>
    </tableColumn>
    <tableColumn id="12" xr3:uid="{B071C0DA-87A9-4516-B4D9-4F5B7D3FF44A}" name="Weeknum" dataDxfId="15">
      <calculatedColumnFormula>WEEKNUM(orders[[#This Row],[Order Date]])</calculatedColumnFormula>
    </tableColumn>
    <tableColumn id="13" xr3:uid="{B8EA9E28-7541-4E76-9935-C26438661A18}" name="Gender Value" dataDxfId="14">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0C5D5-5015-0B4F-A8FA-B64C1CA91742}">
  <dimension ref="A2:Y91"/>
  <sheetViews>
    <sheetView topLeftCell="K19" workbookViewId="0">
      <selection activeCell="T43" sqref="T43"/>
    </sheetView>
  </sheetViews>
  <sheetFormatPr baseColWidth="10" defaultRowHeight="15" x14ac:dyDescent="0.2"/>
  <cols>
    <col min="1" max="1" width="13.33203125" bestFit="1" customWidth="1"/>
    <col min="2" max="2" width="12" bestFit="1" customWidth="1"/>
    <col min="3" max="4" width="13.5" bestFit="1" customWidth="1"/>
    <col min="5" max="5" width="17.5" bestFit="1" customWidth="1"/>
    <col min="6" max="6" width="15.1640625" bestFit="1" customWidth="1"/>
    <col min="7" max="7" width="5.1640625" bestFit="1" customWidth="1"/>
    <col min="8" max="8" width="5.6640625" bestFit="1" customWidth="1"/>
    <col min="9" max="9" width="8.33203125" bestFit="1" customWidth="1"/>
    <col min="10" max="10" width="10" bestFit="1" customWidth="1"/>
    <col min="13" max="13" width="12.1640625" bestFit="1" customWidth="1"/>
    <col min="14" max="14" width="19" bestFit="1" customWidth="1"/>
    <col min="15" max="15" width="13.5" bestFit="1" customWidth="1"/>
    <col min="16" max="16" width="13" bestFit="1" customWidth="1"/>
    <col min="17" max="17" width="8.33203125" bestFit="1" customWidth="1"/>
    <col min="18" max="18" width="10" bestFit="1" customWidth="1"/>
    <col min="21" max="21" width="13.5" bestFit="1" customWidth="1"/>
    <col min="24" max="24" width="19" bestFit="1" customWidth="1"/>
  </cols>
  <sheetData>
    <row r="2" spans="1:14" x14ac:dyDescent="0.2">
      <c r="G2" t="s">
        <v>2557</v>
      </c>
    </row>
    <row r="3" spans="1:14" x14ac:dyDescent="0.2">
      <c r="A3" t="s">
        <v>2556</v>
      </c>
      <c r="B3" t="s">
        <v>2555</v>
      </c>
      <c r="C3" t="s">
        <v>2554</v>
      </c>
      <c r="D3" t="s">
        <v>2553</v>
      </c>
      <c r="E3" t="s">
        <v>2552</v>
      </c>
      <c r="G3" t="s">
        <v>2558</v>
      </c>
      <c r="H3" t="s">
        <v>2559</v>
      </c>
      <c r="I3" t="s">
        <v>4</v>
      </c>
      <c r="J3" t="s">
        <v>2507</v>
      </c>
      <c r="K3" t="s">
        <v>2560</v>
      </c>
    </row>
    <row r="4" spans="1:14" x14ac:dyDescent="0.2">
      <c r="A4" s="12">
        <v>2.3424999999999998</v>
      </c>
      <c r="B4" s="12">
        <v>3.9620833333333332</v>
      </c>
      <c r="C4" s="12">
        <v>649019.80000000144</v>
      </c>
      <c r="D4" s="12">
        <v>11997</v>
      </c>
      <c r="E4" s="12">
        <v>2400</v>
      </c>
      <c r="G4" t="str">
        <f>TEXT(E4,"#,##")</f>
        <v>2,400</v>
      </c>
      <c r="H4" t="str">
        <f>TEXT(D4,"#,##")</f>
        <v>11,997</v>
      </c>
      <c r="I4" t="str">
        <f>TEXT(C4,"$#,##,.0K")</f>
        <v>$649.0K</v>
      </c>
      <c r="J4" t="str">
        <f>TEXT(B4,"#,##")</f>
        <v>4</v>
      </c>
      <c r="K4" t="str">
        <f>TEXT(A4,"#,##")</f>
        <v>2</v>
      </c>
    </row>
    <row r="8" spans="1:14" x14ac:dyDescent="0.2">
      <c r="A8" t="s">
        <v>2561</v>
      </c>
      <c r="E8" t="s">
        <v>2573</v>
      </c>
    </row>
    <row r="10" spans="1:14" x14ac:dyDescent="0.2">
      <c r="A10" s="14" t="s">
        <v>2562</v>
      </c>
      <c r="B10" t="s">
        <v>2554</v>
      </c>
      <c r="C10" t="s">
        <v>2553</v>
      </c>
      <c r="E10" s="14" t="s">
        <v>2553</v>
      </c>
      <c r="F10" s="14" t="s">
        <v>2564</v>
      </c>
      <c r="M10" s="14" t="s">
        <v>2562</v>
      </c>
      <c r="N10" t="s">
        <v>2553</v>
      </c>
    </row>
    <row r="11" spans="1:14" x14ac:dyDescent="0.2">
      <c r="A11" s="15">
        <v>1</v>
      </c>
      <c r="B11" s="16">
        <v>32413.300000000003</v>
      </c>
      <c r="C11" s="12">
        <v>546</v>
      </c>
      <c r="E11" s="14" t="s">
        <v>2562</v>
      </c>
      <c r="F11" t="s">
        <v>2565</v>
      </c>
      <c r="G11" t="s">
        <v>2566</v>
      </c>
      <c r="H11" t="s">
        <v>2567</v>
      </c>
      <c r="I11" t="s">
        <v>2568</v>
      </c>
      <c r="J11" t="s">
        <v>2563</v>
      </c>
      <c r="M11" s="15" t="s">
        <v>2565</v>
      </c>
      <c r="N11" s="12">
        <v>2240</v>
      </c>
    </row>
    <row r="12" spans="1:14" x14ac:dyDescent="0.2">
      <c r="A12" s="15">
        <v>2</v>
      </c>
      <c r="B12" s="16">
        <v>49562.999999999993</v>
      </c>
      <c r="C12" s="12">
        <v>905</v>
      </c>
      <c r="E12" s="15" t="s">
        <v>39</v>
      </c>
      <c r="F12" s="12">
        <v>318</v>
      </c>
      <c r="G12" s="12">
        <v>149</v>
      </c>
      <c r="H12" s="12">
        <v>10</v>
      </c>
      <c r="I12" s="12">
        <v>69</v>
      </c>
      <c r="J12" s="12">
        <v>546</v>
      </c>
      <c r="M12" s="15" t="s">
        <v>2566</v>
      </c>
      <c r="N12" s="12">
        <v>1605</v>
      </c>
    </row>
    <row r="13" spans="1:14" x14ac:dyDescent="0.2">
      <c r="A13" s="15">
        <v>3</v>
      </c>
      <c r="B13" s="16">
        <v>41700.400000000016</v>
      </c>
      <c r="C13" s="12">
        <v>796</v>
      </c>
      <c r="E13" s="15" t="s">
        <v>44</v>
      </c>
      <c r="F13" s="12">
        <v>240</v>
      </c>
      <c r="G13" s="12">
        <v>203</v>
      </c>
      <c r="H13" s="12">
        <v>27</v>
      </c>
      <c r="I13" s="12">
        <v>32</v>
      </c>
      <c r="J13" s="12">
        <v>502</v>
      </c>
      <c r="M13" s="15" t="s">
        <v>2567</v>
      </c>
      <c r="N13" s="12">
        <v>114</v>
      </c>
    </row>
    <row r="14" spans="1:14" x14ac:dyDescent="0.2">
      <c r="A14" s="15">
        <v>4</v>
      </c>
      <c r="B14" s="16">
        <v>46782.599999999984</v>
      </c>
      <c r="C14" s="12">
        <v>913</v>
      </c>
      <c r="E14" s="15" t="s">
        <v>26</v>
      </c>
      <c r="F14" s="12">
        <v>266</v>
      </c>
      <c r="G14" s="12">
        <v>131</v>
      </c>
      <c r="H14" s="12">
        <v>13</v>
      </c>
      <c r="I14" s="12">
        <v>84</v>
      </c>
      <c r="J14" s="12">
        <v>494</v>
      </c>
      <c r="M14" s="15" t="s">
        <v>2568</v>
      </c>
      <c r="N14" s="12">
        <v>261</v>
      </c>
    </row>
    <row r="15" spans="1:14" x14ac:dyDescent="0.2">
      <c r="A15" s="15">
        <v>5</v>
      </c>
      <c r="B15" s="16">
        <v>42676.100000000006</v>
      </c>
      <c r="C15" s="12">
        <v>844</v>
      </c>
      <c r="E15" s="15" t="s">
        <v>16</v>
      </c>
      <c r="F15" s="12">
        <v>163</v>
      </c>
      <c r="G15" s="12">
        <v>140</v>
      </c>
      <c r="H15" s="12"/>
      <c r="I15" s="12">
        <v>12</v>
      </c>
      <c r="J15" s="12">
        <v>315</v>
      </c>
      <c r="M15" s="15" t="s">
        <v>2563</v>
      </c>
      <c r="N15" s="12">
        <v>4220</v>
      </c>
    </row>
    <row r="16" spans="1:14" x14ac:dyDescent="0.2">
      <c r="A16" s="15">
        <v>6</v>
      </c>
      <c r="B16" s="16">
        <v>62910.7</v>
      </c>
      <c r="C16" s="12">
        <v>1202</v>
      </c>
      <c r="E16" s="15" t="s">
        <v>22</v>
      </c>
      <c r="F16" s="12">
        <v>192</v>
      </c>
      <c r="G16" s="12">
        <v>76</v>
      </c>
      <c r="H16" s="12">
        <v>7</v>
      </c>
      <c r="I16" s="12">
        <v>4</v>
      </c>
      <c r="J16" s="12">
        <v>279</v>
      </c>
    </row>
    <row r="17" spans="1:25" x14ac:dyDescent="0.2">
      <c r="A17" s="15">
        <v>7</v>
      </c>
      <c r="B17" s="16">
        <v>50332.200000000004</v>
      </c>
      <c r="C17" s="12">
        <v>935</v>
      </c>
      <c r="E17" s="15" t="s">
        <v>54</v>
      </c>
      <c r="F17" s="12">
        <v>152</v>
      </c>
      <c r="G17" s="12">
        <v>101</v>
      </c>
      <c r="H17" s="12"/>
      <c r="I17" s="12">
        <v>1</v>
      </c>
      <c r="J17" s="12">
        <v>254</v>
      </c>
      <c r="M17" s="15" t="s">
        <v>2574</v>
      </c>
    </row>
    <row r="18" spans="1:25" x14ac:dyDescent="0.2">
      <c r="A18" s="15">
        <v>8</v>
      </c>
      <c r="B18" s="16">
        <v>58760.599999999977</v>
      </c>
      <c r="C18" s="12">
        <v>1128</v>
      </c>
      <c r="E18" s="15" t="s">
        <v>123</v>
      </c>
      <c r="F18" s="12">
        <v>61</v>
      </c>
      <c r="G18" s="12">
        <v>176</v>
      </c>
      <c r="H18" s="12">
        <v>15</v>
      </c>
      <c r="I18" s="12">
        <v>1</v>
      </c>
      <c r="J18" s="12">
        <v>253</v>
      </c>
    </row>
    <row r="19" spans="1:25" x14ac:dyDescent="0.2">
      <c r="A19" s="15">
        <v>9</v>
      </c>
      <c r="B19" s="16">
        <v>52017.299999999996</v>
      </c>
      <c r="C19" s="12">
        <v>1007</v>
      </c>
      <c r="E19" s="15" t="s">
        <v>42</v>
      </c>
      <c r="F19" s="12">
        <v>96</v>
      </c>
      <c r="G19" s="12">
        <v>151</v>
      </c>
      <c r="H19" s="12"/>
      <c r="I19" s="12"/>
      <c r="J19" s="12">
        <v>247</v>
      </c>
    </row>
    <row r="20" spans="1:25" x14ac:dyDescent="0.2">
      <c r="A20" s="15">
        <v>10</v>
      </c>
      <c r="B20" s="16">
        <v>64915.700000000033</v>
      </c>
      <c r="C20" s="12">
        <v>1128</v>
      </c>
      <c r="E20" s="15" t="s">
        <v>46</v>
      </c>
      <c r="F20" s="12">
        <v>164</v>
      </c>
      <c r="G20" s="12">
        <v>63</v>
      </c>
      <c r="H20" s="12">
        <v>7</v>
      </c>
      <c r="I20" s="12">
        <v>8</v>
      </c>
      <c r="J20" s="12">
        <v>242</v>
      </c>
      <c r="M20" s="14" t="s">
        <v>10</v>
      </c>
      <c r="N20" s="14" t="s">
        <v>11</v>
      </c>
      <c r="O20" t="s">
        <v>2553</v>
      </c>
      <c r="P20" t="s">
        <v>2554</v>
      </c>
    </row>
    <row r="21" spans="1:25" x14ac:dyDescent="0.2">
      <c r="A21" s="15">
        <v>11</v>
      </c>
      <c r="B21" s="16">
        <v>45943.80000000001</v>
      </c>
      <c r="C21" s="12">
        <v>861</v>
      </c>
      <c r="E21" s="15" t="s">
        <v>32</v>
      </c>
      <c r="F21" s="12">
        <v>152</v>
      </c>
      <c r="G21" s="12">
        <v>60</v>
      </c>
      <c r="H21" s="12">
        <v>8</v>
      </c>
      <c r="I21" s="12">
        <v>3</v>
      </c>
      <c r="J21" s="12">
        <v>223</v>
      </c>
      <c r="M21" t="s">
        <v>19</v>
      </c>
      <c r="N21" t="s">
        <v>115</v>
      </c>
      <c r="O21" s="12">
        <v>195</v>
      </c>
      <c r="P21" s="12">
        <v>10372.200000000001</v>
      </c>
      <c r="S21" s="13" t="s">
        <v>10</v>
      </c>
      <c r="T21" s="13" t="s">
        <v>11</v>
      </c>
      <c r="U21" s="13" t="s">
        <v>2553</v>
      </c>
      <c r="W21" s="13" t="s">
        <v>10</v>
      </c>
      <c r="X21" s="13" t="s">
        <v>11</v>
      </c>
      <c r="Y21" s="13" t="s">
        <v>2554</v>
      </c>
    </row>
    <row r="22" spans="1:25" x14ac:dyDescent="0.2">
      <c r="A22" s="15">
        <v>12</v>
      </c>
      <c r="B22" s="16">
        <v>55077.900000000031</v>
      </c>
      <c r="C22" s="12">
        <v>944</v>
      </c>
      <c r="E22" s="15" t="s">
        <v>37</v>
      </c>
      <c r="F22" s="12">
        <v>116</v>
      </c>
      <c r="G22" s="12">
        <v>73</v>
      </c>
      <c r="H22" s="12"/>
      <c r="I22" s="12">
        <v>3</v>
      </c>
      <c r="J22" s="12">
        <v>192</v>
      </c>
      <c r="M22" t="s">
        <v>19</v>
      </c>
      <c r="N22" t="s">
        <v>20</v>
      </c>
      <c r="O22" s="12">
        <v>1</v>
      </c>
      <c r="P22" s="12">
        <v>10.9</v>
      </c>
      <c r="S22" s="27" t="s">
        <v>19</v>
      </c>
      <c r="T22" t="s">
        <v>115</v>
      </c>
      <c r="U22" s="12">
        <v>579</v>
      </c>
      <c r="W22" s="27" t="s">
        <v>19</v>
      </c>
      <c r="X22" t="s">
        <v>115</v>
      </c>
      <c r="Y22" s="12">
        <v>31884.999999999996</v>
      </c>
    </row>
    <row r="23" spans="1:25" x14ac:dyDescent="0.2">
      <c r="A23" s="15">
        <v>13</v>
      </c>
      <c r="B23" s="16">
        <v>45926.19999999999</v>
      </c>
      <c r="C23" s="12">
        <v>788</v>
      </c>
      <c r="E23" s="15" t="s">
        <v>69</v>
      </c>
      <c r="F23" s="12">
        <v>84</v>
      </c>
      <c r="G23" s="12">
        <v>45</v>
      </c>
      <c r="H23" s="12">
        <v>6</v>
      </c>
      <c r="I23" s="12">
        <v>6</v>
      </c>
      <c r="J23" s="12">
        <v>141</v>
      </c>
      <c r="M23" t="s">
        <v>19</v>
      </c>
      <c r="N23" t="s">
        <v>641</v>
      </c>
      <c r="O23" s="12">
        <v>2</v>
      </c>
      <c r="P23" s="12">
        <v>348.2</v>
      </c>
      <c r="S23" s="27" t="s">
        <v>19</v>
      </c>
      <c r="T23" t="s">
        <v>20</v>
      </c>
      <c r="U23" s="12">
        <v>1</v>
      </c>
      <c r="W23" s="27" t="s">
        <v>19</v>
      </c>
      <c r="X23" t="s">
        <v>20</v>
      </c>
      <c r="Y23" s="12">
        <v>10.9</v>
      </c>
    </row>
    <row r="24" spans="1:25" x14ac:dyDescent="0.2">
      <c r="A24" s="15" t="s">
        <v>2563</v>
      </c>
      <c r="B24" s="16">
        <v>649019.79999999993</v>
      </c>
      <c r="C24" s="12">
        <v>11997</v>
      </c>
      <c r="E24" s="15" t="s">
        <v>146</v>
      </c>
      <c r="F24" s="12">
        <v>72</v>
      </c>
      <c r="G24" s="12">
        <v>61</v>
      </c>
      <c r="H24" s="12"/>
      <c r="I24" s="12">
        <v>6</v>
      </c>
      <c r="J24" s="12">
        <v>139</v>
      </c>
      <c r="M24" t="s">
        <v>19</v>
      </c>
      <c r="N24" t="s">
        <v>967</v>
      </c>
      <c r="O24" s="12">
        <v>9</v>
      </c>
      <c r="P24" s="12">
        <v>192.6</v>
      </c>
      <c r="S24" s="27" t="s">
        <v>19</v>
      </c>
      <c r="T24" t="s">
        <v>641</v>
      </c>
      <c r="U24" s="12">
        <v>9</v>
      </c>
      <c r="W24" s="27" t="s">
        <v>19</v>
      </c>
      <c r="X24" t="s">
        <v>641</v>
      </c>
      <c r="Y24" s="12">
        <v>800.3</v>
      </c>
    </row>
    <row r="25" spans="1:25" x14ac:dyDescent="0.2">
      <c r="E25" s="15" t="s">
        <v>30</v>
      </c>
      <c r="F25" s="12">
        <v>39</v>
      </c>
      <c r="G25" s="12">
        <v>46</v>
      </c>
      <c r="H25" s="12">
        <v>4</v>
      </c>
      <c r="I25" s="12">
        <v>14</v>
      </c>
      <c r="J25" s="12">
        <v>103</v>
      </c>
      <c r="M25" t="s">
        <v>19</v>
      </c>
      <c r="N25" t="s">
        <v>84</v>
      </c>
      <c r="O25" s="12">
        <v>12</v>
      </c>
      <c r="P25" s="12">
        <v>326.20000000000005</v>
      </c>
      <c r="S25" s="27" t="s">
        <v>19</v>
      </c>
      <c r="T25" t="s">
        <v>967</v>
      </c>
      <c r="U25" s="12">
        <v>35</v>
      </c>
      <c r="W25" s="27" t="s">
        <v>19</v>
      </c>
      <c r="X25" t="s">
        <v>967</v>
      </c>
      <c r="Y25" s="12">
        <v>1062.5999999999999</v>
      </c>
    </row>
    <row r="26" spans="1:25" x14ac:dyDescent="0.2">
      <c r="E26" s="15" t="s">
        <v>67</v>
      </c>
      <c r="F26" s="12">
        <v>37</v>
      </c>
      <c r="G26" s="12">
        <v>30</v>
      </c>
      <c r="H26" s="12">
        <v>3</v>
      </c>
      <c r="I26" s="12"/>
      <c r="J26" s="12">
        <v>70</v>
      </c>
      <c r="M26" t="s">
        <v>19</v>
      </c>
      <c r="N26" t="s">
        <v>1383</v>
      </c>
      <c r="O26" s="12">
        <v>3</v>
      </c>
      <c r="P26" s="12">
        <v>127.19999999999999</v>
      </c>
      <c r="S26" s="27" t="s">
        <v>19</v>
      </c>
      <c r="T26" t="s">
        <v>84</v>
      </c>
      <c r="U26" s="12">
        <v>12</v>
      </c>
      <c r="W26" s="27" t="s">
        <v>19</v>
      </c>
      <c r="X26" t="s">
        <v>84</v>
      </c>
      <c r="Y26" s="12">
        <v>326.20000000000005</v>
      </c>
    </row>
    <row r="27" spans="1:25" x14ac:dyDescent="0.2">
      <c r="A27" s="14" t="s">
        <v>2562</v>
      </c>
      <c r="B27" t="s">
        <v>2552</v>
      </c>
      <c r="E27" s="15" t="s">
        <v>76</v>
      </c>
      <c r="F27" s="12">
        <v>22</v>
      </c>
      <c r="G27" s="12">
        <v>39</v>
      </c>
      <c r="H27" s="12">
        <v>4</v>
      </c>
      <c r="I27" s="12"/>
      <c r="J27" s="12">
        <v>65</v>
      </c>
      <c r="M27" t="s">
        <v>19</v>
      </c>
      <c r="N27" t="s">
        <v>24</v>
      </c>
      <c r="O27" s="12">
        <v>79</v>
      </c>
      <c r="P27" s="12">
        <v>3781.2999999999988</v>
      </c>
      <c r="S27" s="27" t="s">
        <v>19</v>
      </c>
      <c r="T27" t="s">
        <v>1383</v>
      </c>
      <c r="U27" s="12">
        <v>4</v>
      </c>
      <c r="W27" s="27" t="s">
        <v>19</v>
      </c>
      <c r="X27" t="s">
        <v>1383</v>
      </c>
      <c r="Y27" s="12">
        <v>167.5</v>
      </c>
    </row>
    <row r="28" spans="1:25" x14ac:dyDescent="0.2">
      <c r="A28" s="15">
        <v>1</v>
      </c>
      <c r="B28" s="12">
        <v>166</v>
      </c>
      <c r="E28" s="15" t="s">
        <v>128</v>
      </c>
      <c r="F28" s="12">
        <v>35</v>
      </c>
      <c r="G28" s="12">
        <v>29</v>
      </c>
      <c r="H28" s="12"/>
      <c r="I28" s="12"/>
      <c r="J28" s="12">
        <v>64</v>
      </c>
      <c r="M28" t="s">
        <v>19</v>
      </c>
      <c r="N28" t="s">
        <v>2204</v>
      </c>
      <c r="O28" s="12">
        <v>13</v>
      </c>
      <c r="P28" s="12">
        <v>322.40000000000003</v>
      </c>
      <c r="S28" s="27" t="s">
        <v>19</v>
      </c>
      <c r="T28" t="s">
        <v>24</v>
      </c>
      <c r="U28" s="12">
        <v>341</v>
      </c>
      <c r="W28" s="27" t="s">
        <v>19</v>
      </c>
      <c r="X28" t="s">
        <v>24</v>
      </c>
      <c r="Y28" s="12">
        <v>16168.7</v>
      </c>
    </row>
    <row r="29" spans="1:25" x14ac:dyDescent="0.2">
      <c r="A29" s="15">
        <v>2</v>
      </c>
      <c r="B29" s="12">
        <v>197</v>
      </c>
      <c r="E29" s="15" t="s">
        <v>81</v>
      </c>
      <c r="F29" s="12">
        <v>11</v>
      </c>
      <c r="G29" s="12">
        <v>32</v>
      </c>
      <c r="H29" s="12">
        <v>8</v>
      </c>
      <c r="I29" s="12">
        <v>6</v>
      </c>
      <c r="J29" s="12">
        <v>57</v>
      </c>
      <c r="M29" t="s">
        <v>19</v>
      </c>
      <c r="N29" t="s">
        <v>437</v>
      </c>
      <c r="O29" s="12">
        <v>22</v>
      </c>
      <c r="P29" s="12">
        <v>1253.8000000000002</v>
      </c>
      <c r="S29" s="27" t="s">
        <v>19</v>
      </c>
      <c r="T29" t="s">
        <v>2204</v>
      </c>
      <c r="U29" s="12">
        <v>13</v>
      </c>
      <c r="W29" s="27" t="s">
        <v>19</v>
      </c>
      <c r="X29" t="s">
        <v>2204</v>
      </c>
      <c r="Y29" s="12">
        <v>322.40000000000003</v>
      </c>
    </row>
    <row r="30" spans="1:25" x14ac:dyDescent="0.2">
      <c r="A30" s="15">
        <v>3</v>
      </c>
      <c r="B30" s="12">
        <v>123</v>
      </c>
      <c r="E30" s="15" t="s">
        <v>135</v>
      </c>
      <c r="F30" s="12">
        <v>17</v>
      </c>
      <c r="G30" s="12"/>
      <c r="H30" s="12"/>
      <c r="I30" s="12">
        <v>12</v>
      </c>
      <c r="J30" s="12">
        <v>29</v>
      </c>
      <c r="M30" t="s">
        <v>19</v>
      </c>
      <c r="N30" t="s">
        <v>28</v>
      </c>
      <c r="O30" s="12">
        <v>104</v>
      </c>
      <c r="P30" s="12">
        <v>4417.3999999999996</v>
      </c>
      <c r="S30" s="27" t="s">
        <v>19</v>
      </c>
      <c r="T30" t="s">
        <v>437</v>
      </c>
      <c r="U30" s="12">
        <v>31</v>
      </c>
      <c r="W30" s="27" t="s">
        <v>19</v>
      </c>
      <c r="X30" t="s">
        <v>437</v>
      </c>
      <c r="Y30" s="12">
        <v>2092.8000000000002</v>
      </c>
    </row>
    <row r="31" spans="1:25" x14ac:dyDescent="0.2">
      <c r="A31" s="3">
        <v>3</v>
      </c>
      <c r="B31" s="12">
        <v>123</v>
      </c>
      <c r="E31" s="15" t="s">
        <v>171</v>
      </c>
      <c r="F31" s="12">
        <v>3</v>
      </c>
      <c r="G31" s="12"/>
      <c r="H31" s="12">
        <v>2</v>
      </c>
      <c r="I31" s="12"/>
      <c r="J31" s="12">
        <v>5</v>
      </c>
      <c r="M31" t="s">
        <v>19</v>
      </c>
      <c r="N31" t="s">
        <v>587</v>
      </c>
      <c r="O31" s="12">
        <v>19</v>
      </c>
      <c r="P31" s="12">
        <v>460.09999999999997</v>
      </c>
      <c r="S31" s="27" t="s">
        <v>19</v>
      </c>
      <c r="T31" t="s">
        <v>28</v>
      </c>
      <c r="U31" s="12">
        <v>279</v>
      </c>
      <c r="W31" s="27" t="s">
        <v>19</v>
      </c>
      <c r="X31" t="s">
        <v>28</v>
      </c>
      <c r="Y31" s="12">
        <v>12662.500000000002</v>
      </c>
    </row>
    <row r="32" spans="1:25" x14ac:dyDescent="0.2">
      <c r="A32" s="15">
        <v>4</v>
      </c>
      <c r="B32" s="12">
        <v>87</v>
      </c>
      <c r="E32" s="15" t="s">
        <v>2563</v>
      </c>
      <c r="F32" s="12">
        <v>2240</v>
      </c>
      <c r="G32" s="12">
        <v>1605</v>
      </c>
      <c r="H32" s="12">
        <v>114</v>
      </c>
      <c r="I32" s="12">
        <v>261</v>
      </c>
      <c r="J32" s="12">
        <v>4220</v>
      </c>
      <c r="M32" t="s">
        <v>19</v>
      </c>
      <c r="N32" t="s">
        <v>331</v>
      </c>
      <c r="O32" s="12">
        <v>22</v>
      </c>
      <c r="P32" s="12">
        <v>1218.5999999999999</v>
      </c>
      <c r="S32" s="27" t="s">
        <v>19</v>
      </c>
      <c r="T32" t="s">
        <v>208</v>
      </c>
      <c r="U32" s="12">
        <v>9</v>
      </c>
      <c r="W32" s="27" t="s">
        <v>19</v>
      </c>
      <c r="X32" t="s">
        <v>208</v>
      </c>
      <c r="Y32" s="12">
        <v>343.2</v>
      </c>
    </row>
    <row r="33" spans="1:25" x14ac:dyDescent="0.2">
      <c r="A33" s="3">
        <v>4</v>
      </c>
      <c r="B33" s="12">
        <v>87</v>
      </c>
      <c r="M33" t="s">
        <v>19</v>
      </c>
      <c r="N33" t="s">
        <v>86</v>
      </c>
      <c r="O33" s="12">
        <v>8</v>
      </c>
      <c r="P33" s="12">
        <v>887.5</v>
      </c>
      <c r="S33" s="27" t="s">
        <v>19</v>
      </c>
      <c r="T33" t="s">
        <v>587</v>
      </c>
      <c r="U33" s="12">
        <v>49</v>
      </c>
      <c r="W33" s="27" t="s">
        <v>19</v>
      </c>
      <c r="X33" t="s">
        <v>587</v>
      </c>
      <c r="Y33" s="12">
        <v>2188.2999999999997</v>
      </c>
    </row>
    <row r="34" spans="1:25" x14ac:dyDescent="0.2">
      <c r="A34" s="15">
        <v>5</v>
      </c>
      <c r="B34" s="12">
        <v>77</v>
      </c>
      <c r="M34" t="s">
        <v>19</v>
      </c>
      <c r="N34" t="s">
        <v>147</v>
      </c>
      <c r="O34" s="12">
        <v>84</v>
      </c>
      <c r="P34" s="12">
        <v>4014.2000000000003</v>
      </c>
      <c r="S34" s="27" t="s">
        <v>19</v>
      </c>
      <c r="T34" t="s">
        <v>331</v>
      </c>
      <c r="U34" s="12">
        <v>59</v>
      </c>
      <c r="W34" s="27" t="s">
        <v>19</v>
      </c>
      <c r="X34" t="s">
        <v>331</v>
      </c>
      <c r="Y34" s="12">
        <v>2661.5999999999995</v>
      </c>
    </row>
    <row r="35" spans="1:25" x14ac:dyDescent="0.2">
      <c r="A35" s="3">
        <v>5</v>
      </c>
      <c r="B35" s="12">
        <v>77</v>
      </c>
      <c r="M35" t="s">
        <v>19</v>
      </c>
      <c r="N35" t="s">
        <v>334</v>
      </c>
      <c r="O35" s="12">
        <v>11</v>
      </c>
      <c r="P35" s="12">
        <v>370.90000000000003</v>
      </c>
      <c r="S35" s="27" t="s">
        <v>19</v>
      </c>
      <c r="T35" t="s">
        <v>86</v>
      </c>
      <c r="U35" s="12">
        <v>8</v>
      </c>
      <c r="W35" s="27" t="s">
        <v>19</v>
      </c>
      <c r="X35" t="s">
        <v>86</v>
      </c>
      <c r="Y35" s="12">
        <v>887.5</v>
      </c>
    </row>
    <row r="36" spans="1:25" x14ac:dyDescent="0.2">
      <c r="A36" s="15" t="s">
        <v>2571</v>
      </c>
      <c r="B36" s="12">
        <v>134</v>
      </c>
      <c r="M36" t="s">
        <v>19</v>
      </c>
      <c r="N36" t="s">
        <v>949</v>
      </c>
      <c r="O36" s="12">
        <v>18</v>
      </c>
      <c r="P36" s="12">
        <v>1279</v>
      </c>
      <c r="S36" s="27" t="s">
        <v>19</v>
      </c>
      <c r="T36" t="s">
        <v>147</v>
      </c>
      <c r="U36" s="12">
        <v>222</v>
      </c>
      <c r="W36" s="27" t="s">
        <v>19</v>
      </c>
      <c r="X36" t="s">
        <v>147</v>
      </c>
      <c r="Y36" s="12">
        <v>11354.199999999993</v>
      </c>
    </row>
    <row r="37" spans="1:25" x14ac:dyDescent="0.2">
      <c r="A37" s="15" t="s">
        <v>2572</v>
      </c>
      <c r="B37" s="12">
        <v>84</v>
      </c>
      <c r="M37" t="s">
        <v>19</v>
      </c>
      <c r="N37" t="s">
        <v>33</v>
      </c>
      <c r="O37" s="12">
        <v>1363</v>
      </c>
      <c r="P37" s="12">
        <v>71609.89999999998</v>
      </c>
      <c r="S37" s="27" t="s">
        <v>19</v>
      </c>
      <c r="T37" t="s">
        <v>334</v>
      </c>
      <c r="U37" s="12">
        <v>36</v>
      </c>
      <c r="W37" s="27" t="s">
        <v>19</v>
      </c>
      <c r="X37" t="s">
        <v>334</v>
      </c>
      <c r="Y37" s="12">
        <v>1558.4</v>
      </c>
    </row>
    <row r="38" spans="1:25" x14ac:dyDescent="0.2">
      <c r="A38" s="15" t="s">
        <v>2563</v>
      </c>
      <c r="B38" s="12">
        <v>868</v>
      </c>
      <c r="M38" t="s">
        <v>19</v>
      </c>
      <c r="N38" t="s">
        <v>364</v>
      </c>
      <c r="O38" s="12">
        <v>22</v>
      </c>
      <c r="P38" s="12">
        <v>1180.4000000000001</v>
      </c>
      <c r="S38" s="27" t="s">
        <v>19</v>
      </c>
      <c r="T38" t="s">
        <v>949</v>
      </c>
      <c r="U38" s="12">
        <v>30</v>
      </c>
      <c r="W38" s="27" t="s">
        <v>19</v>
      </c>
      <c r="X38" t="s">
        <v>949</v>
      </c>
      <c r="Y38" s="12">
        <v>2223.9</v>
      </c>
    </row>
    <row r="39" spans="1:25" x14ac:dyDescent="0.2">
      <c r="M39" t="s">
        <v>19</v>
      </c>
      <c r="N39" t="s">
        <v>545</v>
      </c>
      <c r="O39" s="12">
        <v>17</v>
      </c>
      <c r="P39" s="12">
        <v>328.1</v>
      </c>
      <c r="S39" s="27" t="s">
        <v>19</v>
      </c>
      <c r="T39" t="s">
        <v>1426</v>
      </c>
      <c r="U39" s="12">
        <v>1</v>
      </c>
      <c r="W39" s="27" t="s">
        <v>19</v>
      </c>
      <c r="X39" t="s">
        <v>1426</v>
      </c>
      <c r="Y39" s="12">
        <v>26.2</v>
      </c>
    </row>
    <row r="40" spans="1:25" x14ac:dyDescent="0.2">
      <c r="M40" t="s">
        <v>19</v>
      </c>
      <c r="N40" t="s">
        <v>416</v>
      </c>
      <c r="O40" s="12">
        <v>6</v>
      </c>
      <c r="P40" s="12">
        <v>445.79999999999995</v>
      </c>
      <c r="S40" s="27" t="s">
        <v>19</v>
      </c>
      <c r="T40" t="s">
        <v>33</v>
      </c>
      <c r="U40" s="12">
        <v>3991</v>
      </c>
      <c r="W40" s="27" t="s">
        <v>19</v>
      </c>
      <c r="X40" t="s">
        <v>33</v>
      </c>
      <c r="Y40" s="12">
        <v>215551.19999999981</v>
      </c>
    </row>
    <row r="41" spans="1:25" x14ac:dyDescent="0.2">
      <c r="M41" t="s">
        <v>19</v>
      </c>
      <c r="N41" t="s">
        <v>258</v>
      </c>
      <c r="O41" s="12">
        <v>3</v>
      </c>
      <c r="P41" s="12">
        <v>172.2</v>
      </c>
      <c r="S41" s="27" t="s">
        <v>19</v>
      </c>
      <c r="T41" t="s">
        <v>364</v>
      </c>
      <c r="U41" s="12">
        <v>45</v>
      </c>
      <c r="W41" s="27" t="s">
        <v>19</v>
      </c>
      <c r="X41" t="s">
        <v>364</v>
      </c>
      <c r="Y41" s="12">
        <v>2687.3999999999996</v>
      </c>
    </row>
    <row r="42" spans="1:25" x14ac:dyDescent="0.2">
      <c r="A42" t="s">
        <v>2575</v>
      </c>
      <c r="M42" t="s">
        <v>19</v>
      </c>
      <c r="N42" t="s">
        <v>186</v>
      </c>
      <c r="O42" s="12">
        <v>9</v>
      </c>
      <c r="P42" s="12">
        <v>479.90000000000003</v>
      </c>
      <c r="S42" s="27" t="s">
        <v>19</v>
      </c>
      <c r="T42" t="s">
        <v>545</v>
      </c>
      <c r="U42" s="12">
        <v>39</v>
      </c>
      <c r="W42" s="27" t="s">
        <v>19</v>
      </c>
      <c r="X42" t="s">
        <v>545</v>
      </c>
      <c r="Y42" s="12">
        <v>1463.3000000000002</v>
      </c>
    </row>
    <row r="43" spans="1:25" x14ac:dyDescent="0.2">
      <c r="M43" t="s">
        <v>19</v>
      </c>
      <c r="N43" t="s">
        <v>802</v>
      </c>
      <c r="O43" s="12">
        <v>1</v>
      </c>
      <c r="P43" s="12">
        <v>57.6</v>
      </c>
      <c r="S43" s="27" t="s">
        <v>19</v>
      </c>
      <c r="T43" t="s">
        <v>416</v>
      </c>
      <c r="U43" s="12">
        <v>6</v>
      </c>
      <c r="W43" s="27" t="s">
        <v>19</v>
      </c>
      <c r="X43" t="s">
        <v>416</v>
      </c>
      <c r="Y43" s="12">
        <v>445.79999999999995</v>
      </c>
    </row>
    <row r="44" spans="1:25" x14ac:dyDescent="0.2">
      <c r="A44" s="14" t="s">
        <v>2562</v>
      </c>
      <c r="B44" t="s">
        <v>2552</v>
      </c>
      <c r="M44" t="s">
        <v>19</v>
      </c>
      <c r="N44" t="s">
        <v>98</v>
      </c>
      <c r="O44" s="12">
        <v>31</v>
      </c>
      <c r="P44" s="12">
        <v>1741.4</v>
      </c>
      <c r="S44" s="27" t="s">
        <v>19</v>
      </c>
      <c r="T44" t="s">
        <v>258</v>
      </c>
      <c r="U44" s="12">
        <v>9</v>
      </c>
      <c r="W44" s="27" t="s">
        <v>19</v>
      </c>
      <c r="X44" t="s">
        <v>258</v>
      </c>
      <c r="Y44" s="12">
        <v>273.59999999999997</v>
      </c>
    </row>
    <row r="45" spans="1:25" x14ac:dyDescent="0.2">
      <c r="A45" s="15">
        <v>0</v>
      </c>
      <c r="B45" s="12">
        <v>55</v>
      </c>
      <c r="M45" t="s">
        <v>19</v>
      </c>
      <c r="N45" t="s">
        <v>49</v>
      </c>
      <c r="O45" s="12">
        <v>13</v>
      </c>
      <c r="P45" s="12">
        <v>642</v>
      </c>
      <c r="S45" s="27" t="s">
        <v>19</v>
      </c>
      <c r="T45" t="s">
        <v>186</v>
      </c>
      <c r="U45" s="12">
        <v>60</v>
      </c>
      <c r="W45" s="27" t="s">
        <v>19</v>
      </c>
      <c r="X45" t="s">
        <v>186</v>
      </c>
      <c r="Y45" s="12">
        <v>2690.4</v>
      </c>
    </row>
    <row r="46" spans="1:25" x14ac:dyDescent="0.2">
      <c r="A46" s="15">
        <v>1</v>
      </c>
      <c r="B46" s="12">
        <v>323</v>
      </c>
      <c r="M46" t="s">
        <v>19</v>
      </c>
      <c r="N46" t="s">
        <v>188</v>
      </c>
      <c r="O46" s="12">
        <v>57</v>
      </c>
      <c r="P46" s="12">
        <v>2915.4</v>
      </c>
      <c r="S46" s="27" t="s">
        <v>19</v>
      </c>
      <c r="T46" t="s">
        <v>392</v>
      </c>
      <c r="U46" s="12">
        <v>2</v>
      </c>
      <c r="W46" s="27" t="s">
        <v>19</v>
      </c>
      <c r="X46" t="s">
        <v>392</v>
      </c>
      <c r="Y46" s="12">
        <v>28.4</v>
      </c>
    </row>
    <row r="47" spans="1:25" x14ac:dyDescent="0.2">
      <c r="A47" s="15">
        <v>2</v>
      </c>
      <c r="B47" s="12">
        <v>179</v>
      </c>
      <c r="M47" t="s">
        <v>19</v>
      </c>
      <c r="N47" t="s">
        <v>52</v>
      </c>
      <c r="O47" s="12">
        <v>55</v>
      </c>
      <c r="P47" s="12">
        <v>3426.2000000000003</v>
      </c>
      <c r="S47" s="27" t="s">
        <v>19</v>
      </c>
      <c r="T47" t="s">
        <v>670</v>
      </c>
      <c r="U47" s="12">
        <v>4</v>
      </c>
      <c r="W47" s="27" t="s">
        <v>19</v>
      </c>
      <c r="X47" t="s">
        <v>670</v>
      </c>
      <c r="Y47" s="12">
        <v>204.8</v>
      </c>
    </row>
    <row r="48" spans="1:25" x14ac:dyDescent="0.2">
      <c r="A48" s="15">
        <v>3</v>
      </c>
      <c r="B48" s="12">
        <v>123</v>
      </c>
      <c r="M48" t="s">
        <v>19</v>
      </c>
      <c r="N48" t="s">
        <v>338</v>
      </c>
      <c r="O48" s="12">
        <v>6</v>
      </c>
      <c r="P48" s="12">
        <v>206.1</v>
      </c>
      <c r="S48" s="27" t="s">
        <v>19</v>
      </c>
      <c r="T48" t="s">
        <v>802</v>
      </c>
      <c r="U48" s="12">
        <v>31</v>
      </c>
      <c r="W48" s="27" t="s">
        <v>19</v>
      </c>
      <c r="X48" t="s">
        <v>802</v>
      </c>
      <c r="Y48" s="12">
        <v>1607.8999999999999</v>
      </c>
    </row>
    <row r="49" spans="1:25" x14ac:dyDescent="0.2">
      <c r="A49" s="15">
        <v>4</v>
      </c>
      <c r="B49" s="12">
        <v>71</v>
      </c>
      <c r="M49" t="s">
        <v>19</v>
      </c>
      <c r="N49" t="s">
        <v>158</v>
      </c>
      <c r="O49" s="12">
        <v>105</v>
      </c>
      <c r="P49" s="12">
        <v>5305.7000000000007</v>
      </c>
      <c r="S49" s="27" t="s">
        <v>19</v>
      </c>
      <c r="T49" t="s">
        <v>98</v>
      </c>
      <c r="U49" s="12">
        <v>88</v>
      </c>
      <c r="W49" s="27" t="s">
        <v>19</v>
      </c>
      <c r="X49" t="s">
        <v>98</v>
      </c>
      <c r="Y49" s="12">
        <v>6444.9</v>
      </c>
    </row>
    <row r="50" spans="1:25" x14ac:dyDescent="0.2">
      <c r="A50" s="15">
        <v>5</v>
      </c>
      <c r="B50" s="12">
        <v>44</v>
      </c>
      <c r="M50" t="s">
        <v>19</v>
      </c>
      <c r="N50" t="s">
        <v>55</v>
      </c>
      <c r="O50" s="12">
        <v>301</v>
      </c>
      <c r="P50" s="12">
        <v>17770.599999999999</v>
      </c>
      <c r="S50" s="27" t="s">
        <v>19</v>
      </c>
      <c r="T50" t="s">
        <v>49</v>
      </c>
      <c r="U50" s="12">
        <v>25</v>
      </c>
      <c r="W50" s="27" t="s">
        <v>19</v>
      </c>
      <c r="X50" t="s">
        <v>49</v>
      </c>
      <c r="Y50" s="12">
        <v>1809.3</v>
      </c>
    </row>
    <row r="51" spans="1:25" x14ac:dyDescent="0.2">
      <c r="A51" s="15">
        <v>6</v>
      </c>
      <c r="B51" s="12">
        <v>19</v>
      </c>
      <c r="M51" t="s">
        <v>19</v>
      </c>
      <c r="N51" t="s">
        <v>342</v>
      </c>
      <c r="O51" s="12">
        <v>13</v>
      </c>
      <c r="P51" s="12">
        <v>476.2</v>
      </c>
      <c r="S51" s="27" t="s">
        <v>19</v>
      </c>
      <c r="T51" t="s">
        <v>188</v>
      </c>
      <c r="U51" s="12">
        <v>178</v>
      </c>
      <c r="W51" s="27" t="s">
        <v>19</v>
      </c>
      <c r="X51" t="s">
        <v>188</v>
      </c>
      <c r="Y51" s="12">
        <v>9680.399999999996</v>
      </c>
    </row>
    <row r="52" spans="1:25" x14ac:dyDescent="0.2">
      <c r="A52" s="15">
        <v>7</v>
      </c>
      <c r="B52" s="12">
        <v>14</v>
      </c>
      <c r="M52" t="s">
        <v>19</v>
      </c>
      <c r="N52" t="s">
        <v>59</v>
      </c>
      <c r="O52" s="12">
        <v>136</v>
      </c>
      <c r="P52" s="12">
        <v>6874.0000000000009</v>
      </c>
      <c r="S52" s="27" t="s">
        <v>19</v>
      </c>
      <c r="T52" t="s">
        <v>52</v>
      </c>
      <c r="U52" s="12">
        <v>141</v>
      </c>
      <c r="W52" s="27" t="s">
        <v>19</v>
      </c>
      <c r="X52" t="s">
        <v>52</v>
      </c>
      <c r="Y52" s="12">
        <v>9414.7999999999993</v>
      </c>
    </row>
    <row r="53" spans="1:25" x14ac:dyDescent="0.2">
      <c r="A53" s="15">
        <v>8</v>
      </c>
      <c r="B53" s="12">
        <v>13</v>
      </c>
      <c r="M53" t="s">
        <v>19</v>
      </c>
      <c r="N53" t="s">
        <v>62</v>
      </c>
      <c r="O53" s="12">
        <v>645</v>
      </c>
      <c r="P53" s="12">
        <v>34093.899999999994</v>
      </c>
      <c r="S53" s="27" t="s">
        <v>19</v>
      </c>
      <c r="T53" t="s">
        <v>338</v>
      </c>
      <c r="U53" s="12">
        <v>6</v>
      </c>
      <c r="W53" s="27" t="s">
        <v>19</v>
      </c>
      <c r="X53" t="s">
        <v>338</v>
      </c>
      <c r="Y53" s="12">
        <v>206.1</v>
      </c>
    </row>
    <row r="54" spans="1:25" x14ac:dyDescent="0.2">
      <c r="A54" s="15">
        <v>9</v>
      </c>
      <c r="B54" s="12">
        <v>3</v>
      </c>
      <c r="M54" t="s">
        <v>19</v>
      </c>
      <c r="N54" t="s">
        <v>103</v>
      </c>
      <c r="O54" s="12">
        <v>141</v>
      </c>
      <c r="P54" s="12">
        <v>12278.400000000001</v>
      </c>
      <c r="S54" s="27" t="s">
        <v>19</v>
      </c>
      <c r="T54" t="s">
        <v>158</v>
      </c>
      <c r="U54" s="12">
        <v>178</v>
      </c>
      <c r="W54" s="27" t="s">
        <v>19</v>
      </c>
      <c r="X54" t="s">
        <v>158</v>
      </c>
      <c r="Y54" s="12">
        <v>7691.3</v>
      </c>
    </row>
    <row r="55" spans="1:25" x14ac:dyDescent="0.2">
      <c r="A55" s="15">
        <v>10</v>
      </c>
      <c r="B55" s="12">
        <v>5</v>
      </c>
      <c r="M55" t="s">
        <v>19</v>
      </c>
      <c r="N55" t="s">
        <v>201</v>
      </c>
      <c r="O55" s="12">
        <v>29</v>
      </c>
      <c r="P55" s="12">
        <v>885.2</v>
      </c>
      <c r="S55" s="27" t="s">
        <v>19</v>
      </c>
      <c r="T55" t="s">
        <v>55</v>
      </c>
      <c r="U55" s="12">
        <v>699</v>
      </c>
      <c r="W55" s="27" t="s">
        <v>19</v>
      </c>
      <c r="X55" t="s">
        <v>55</v>
      </c>
      <c r="Y55" s="12">
        <v>37784.900000000016</v>
      </c>
    </row>
    <row r="56" spans="1:25" x14ac:dyDescent="0.2">
      <c r="A56" s="15">
        <v>11</v>
      </c>
      <c r="B56" s="12">
        <v>6</v>
      </c>
      <c r="M56" t="s">
        <v>19</v>
      </c>
      <c r="N56" t="s">
        <v>429</v>
      </c>
      <c r="O56" s="12">
        <v>6</v>
      </c>
      <c r="P56" s="12">
        <v>290.60000000000002</v>
      </c>
      <c r="S56" s="27" t="s">
        <v>19</v>
      </c>
      <c r="T56" t="s">
        <v>342</v>
      </c>
      <c r="U56" s="12">
        <v>23</v>
      </c>
      <c r="W56" s="27" t="s">
        <v>19</v>
      </c>
      <c r="X56" t="s">
        <v>342</v>
      </c>
      <c r="Y56" s="12">
        <v>1129.7</v>
      </c>
    </row>
    <row r="57" spans="1:25" x14ac:dyDescent="0.2">
      <c r="A57" s="15">
        <v>12</v>
      </c>
      <c r="B57" s="12">
        <v>3</v>
      </c>
      <c r="M57" t="s">
        <v>19</v>
      </c>
      <c r="N57" t="s">
        <v>72</v>
      </c>
      <c r="O57" s="12">
        <v>117</v>
      </c>
      <c r="P57" s="12">
        <v>5494.5000000000009</v>
      </c>
      <c r="S57" s="27" t="s">
        <v>19</v>
      </c>
      <c r="T57" t="s">
        <v>59</v>
      </c>
      <c r="U57" s="12">
        <v>356</v>
      </c>
      <c r="W57" s="27" t="s">
        <v>19</v>
      </c>
      <c r="X57" t="s">
        <v>59</v>
      </c>
      <c r="Y57" s="12">
        <v>20988.9</v>
      </c>
    </row>
    <row r="58" spans="1:25" x14ac:dyDescent="0.2">
      <c r="A58" s="15">
        <v>13</v>
      </c>
      <c r="B58" s="12">
        <v>3</v>
      </c>
      <c r="M58" t="s">
        <v>19</v>
      </c>
      <c r="N58" t="s">
        <v>74</v>
      </c>
      <c r="O58" s="12">
        <v>42</v>
      </c>
      <c r="P58" s="12">
        <v>1800.4</v>
      </c>
      <c r="S58" s="27" t="s">
        <v>19</v>
      </c>
      <c r="T58" t="s">
        <v>62</v>
      </c>
      <c r="U58" s="12">
        <v>1768</v>
      </c>
      <c r="W58" s="27" t="s">
        <v>19</v>
      </c>
      <c r="X58" t="s">
        <v>62</v>
      </c>
      <c r="Y58" s="12">
        <v>98367.099999999977</v>
      </c>
    </row>
    <row r="59" spans="1:25" x14ac:dyDescent="0.2">
      <c r="A59" s="15">
        <v>14</v>
      </c>
      <c r="B59" s="12">
        <v>7</v>
      </c>
      <c r="M59" t="s">
        <v>19</v>
      </c>
      <c r="N59" t="s">
        <v>77</v>
      </c>
      <c r="O59" s="12">
        <v>249</v>
      </c>
      <c r="P59" s="12">
        <v>14569.000000000005</v>
      </c>
      <c r="S59" s="27" t="s">
        <v>19</v>
      </c>
      <c r="T59" t="s">
        <v>103</v>
      </c>
      <c r="U59" s="12">
        <v>307</v>
      </c>
      <c r="W59" s="27" t="s">
        <v>19</v>
      </c>
      <c r="X59" t="s">
        <v>103</v>
      </c>
      <c r="Y59" s="12">
        <v>21911.9</v>
      </c>
    </row>
    <row r="60" spans="1:25" x14ac:dyDescent="0.2">
      <c r="A60" s="15" t="s">
        <v>2563</v>
      </c>
      <c r="B60" s="12">
        <v>868</v>
      </c>
      <c r="M60" t="s">
        <v>19</v>
      </c>
      <c r="N60" t="s">
        <v>309</v>
      </c>
      <c r="O60" s="12">
        <v>8</v>
      </c>
      <c r="P60" s="12">
        <v>261.60000000000002</v>
      </c>
      <c r="S60" s="27" t="s">
        <v>19</v>
      </c>
      <c r="T60" t="s">
        <v>201</v>
      </c>
      <c r="U60" s="12">
        <v>117</v>
      </c>
      <c r="W60" s="27" t="s">
        <v>19</v>
      </c>
      <c r="X60" t="s">
        <v>201</v>
      </c>
      <c r="Y60" s="12">
        <v>5441.2</v>
      </c>
    </row>
    <row r="61" spans="1:25" x14ac:dyDescent="0.2">
      <c r="M61" t="s">
        <v>19</v>
      </c>
      <c r="N61" t="s">
        <v>1116</v>
      </c>
      <c r="O61" s="12">
        <v>16</v>
      </c>
      <c r="P61" s="12">
        <v>890</v>
      </c>
      <c r="S61" s="27" t="s">
        <v>19</v>
      </c>
      <c r="T61" t="s">
        <v>429</v>
      </c>
      <c r="U61" s="12">
        <v>13</v>
      </c>
      <c r="W61" s="27" t="s">
        <v>19</v>
      </c>
      <c r="X61" t="s">
        <v>429</v>
      </c>
      <c r="Y61" s="12">
        <v>392.8</v>
      </c>
    </row>
    <row r="62" spans="1:25" x14ac:dyDescent="0.2">
      <c r="D62" s="15"/>
      <c r="E62" s="12"/>
      <c r="M62" t="s">
        <v>19</v>
      </c>
      <c r="N62" t="s">
        <v>268</v>
      </c>
      <c r="O62" s="12">
        <v>3</v>
      </c>
      <c r="P62" s="12">
        <v>91.6</v>
      </c>
      <c r="S62" s="27" t="s">
        <v>19</v>
      </c>
      <c r="T62" t="s">
        <v>72</v>
      </c>
      <c r="U62" s="12">
        <v>364</v>
      </c>
      <c r="W62" s="27" t="s">
        <v>19</v>
      </c>
      <c r="X62" t="s">
        <v>72</v>
      </c>
      <c r="Y62" s="12">
        <v>16172.000000000005</v>
      </c>
    </row>
    <row r="63" spans="1:25" x14ac:dyDescent="0.2">
      <c r="D63" s="15"/>
      <c r="E63" s="12"/>
      <c r="M63" t="s">
        <v>19</v>
      </c>
      <c r="N63" t="s">
        <v>377</v>
      </c>
      <c r="O63" s="12">
        <v>11</v>
      </c>
      <c r="P63" s="12">
        <v>413.6</v>
      </c>
      <c r="S63" s="27" t="s">
        <v>19</v>
      </c>
      <c r="T63" t="s">
        <v>74</v>
      </c>
      <c r="U63" s="12">
        <v>95</v>
      </c>
      <c r="W63" s="27" t="s">
        <v>19</v>
      </c>
      <c r="X63" t="s">
        <v>74</v>
      </c>
      <c r="Y63" s="12">
        <v>4334.9999999999991</v>
      </c>
    </row>
    <row r="64" spans="1:25" x14ac:dyDescent="0.2">
      <c r="D64" s="15"/>
      <c r="E64" s="12"/>
      <c r="M64" t="s">
        <v>19</v>
      </c>
      <c r="N64" t="s">
        <v>108</v>
      </c>
      <c r="O64" s="12">
        <v>69</v>
      </c>
      <c r="P64" s="12">
        <v>7075.8000000000011</v>
      </c>
      <c r="S64" s="27" t="s">
        <v>19</v>
      </c>
      <c r="T64" t="s">
        <v>77</v>
      </c>
      <c r="U64" s="12">
        <v>737</v>
      </c>
      <c r="W64" s="27" t="s">
        <v>19</v>
      </c>
      <c r="X64" t="s">
        <v>77</v>
      </c>
      <c r="Y64" s="12">
        <v>37449.000000000007</v>
      </c>
    </row>
    <row r="65" spans="4:25" x14ac:dyDescent="0.2">
      <c r="D65" s="15"/>
      <c r="E65" s="12"/>
      <c r="M65" t="s">
        <v>19</v>
      </c>
      <c r="N65" t="s">
        <v>110</v>
      </c>
      <c r="O65" s="12">
        <v>36</v>
      </c>
      <c r="P65" s="12">
        <v>2198.1</v>
      </c>
      <c r="S65" s="27" t="s">
        <v>19</v>
      </c>
      <c r="T65" t="s">
        <v>309</v>
      </c>
      <c r="U65" s="12">
        <v>39</v>
      </c>
      <c r="W65" s="27" t="s">
        <v>19</v>
      </c>
      <c r="X65" t="s">
        <v>309</v>
      </c>
      <c r="Y65" s="12">
        <v>2447.5</v>
      </c>
    </row>
    <row r="66" spans="4:25" x14ac:dyDescent="0.2">
      <c r="D66" s="15"/>
      <c r="E66" s="12"/>
      <c r="M66" t="s">
        <v>19</v>
      </c>
      <c r="N66" t="s">
        <v>292</v>
      </c>
      <c r="O66" s="12">
        <v>7</v>
      </c>
      <c r="P66" s="12">
        <v>264.60000000000002</v>
      </c>
      <c r="S66" s="27" t="s">
        <v>19</v>
      </c>
      <c r="T66" t="s">
        <v>1116</v>
      </c>
      <c r="U66" s="12">
        <v>56</v>
      </c>
      <c r="W66" s="27" t="s">
        <v>19</v>
      </c>
      <c r="X66" t="s">
        <v>1116</v>
      </c>
      <c r="Y66" s="12">
        <v>3391.1</v>
      </c>
    </row>
    <row r="67" spans="4:25" x14ac:dyDescent="0.2">
      <c r="D67" s="15"/>
      <c r="E67" s="12"/>
      <c r="M67" t="s">
        <v>19</v>
      </c>
      <c r="N67" t="s">
        <v>113</v>
      </c>
      <c r="O67" s="12">
        <v>34</v>
      </c>
      <c r="P67" s="12">
        <v>1743.4999999999998</v>
      </c>
      <c r="S67" s="27" t="s">
        <v>19</v>
      </c>
      <c r="T67" t="s">
        <v>700</v>
      </c>
      <c r="U67" s="12">
        <v>2</v>
      </c>
      <c r="W67" s="27" t="s">
        <v>19</v>
      </c>
      <c r="X67" t="s">
        <v>700</v>
      </c>
      <c r="Y67" s="12">
        <v>30.8</v>
      </c>
    </row>
    <row r="68" spans="4:25" x14ac:dyDescent="0.2">
      <c r="D68" s="15"/>
      <c r="E68" s="12"/>
      <c r="M68" t="s">
        <v>19</v>
      </c>
      <c r="N68" t="s">
        <v>997</v>
      </c>
      <c r="O68" s="12">
        <v>16</v>
      </c>
      <c r="P68" s="12">
        <v>515.79999999999995</v>
      </c>
      <c r="S68" s="27" t="s">
        <v>19</v>
      </c>
      <c r="T68" t="s">
        <v>268</v>
      </c>
      <c r="U68" s="12">
        <v>8</v>
      </c>
      <c r="W68" s="27" t="s">
        <v>19</v>
      </c>
      <c r="X68" t="s">
        <v>268</v>
      </c>
      <c r="Y68" s="12">
        <v>332.3</v>
      </c>
    </row>
    <row r="69" spans="4:25" x14ac:dyDescent="0.2">
      <c r="D69" s="15"/>
      <c r="E69" s="12"/>
      <c r="M69" t="s">
        <v>19</v>
      </c>
      <c r="N69" t="s">
        <v>82</v>
      </c>
      <c r="O69" s="12">
        <v>49</v>
      </c>
      <c r="P69" s="12">
        <v>3371.2999999999993</v>
      </c>
      <c r="S69" s="27" t="s">
        <v>19</v>
      </c>
      <c r="T69" t="s">
        <v>377</v>
      </c>
      <c r="U69" s="12">
        <v>52</v>
      </c>
      <c r="W69" s="27" t="s">
        <v>19</v>
      </c>
      <c r="X69" t="s">
        <v>377</v>
      </c>
      <c r="Y69" s="12">
        <v>3175.9999999999995</v>
      </c>
    </row>
    <row r="70" spans="4:25" x14ac:dyDescent="0.2">
      <c r="D70" s="15"/>
      <c r="E70" s="12"/>
      <c r="M70" t="s">
        <v>19</v>
      </c>
      <c r="N70" t="s">
        <v>243</v>
      </c>
      <c r="O70" s="12">
        <v>2</v>
      </c>
      <c r="P70" s="12">
        <v>141.6</v>
      </c>
      <c r="S70" s="27" t="s">
        <v>19</v>
      </c>
      <c r="T70" t="s">
        <v>108</v>
      </c>
      <c r="U70" s="12">
        <v>295</v>
      </c>
      <c r="W70" s="27" t="s">
        <v>19</v>
      </c>
      <c r="X70" t="s">
        <v>108</v>
      </c>
      <c r="Y70" s="12">
        <v>20939.600000000002</v>
      </c>
    </row>
    <row r="71" spans="4:25" x14ac:dyDescent="0.2">
      <c r="D71" s="15"/>
      <c r="E71" s="12"/>
      <c r="S71" s="27" t="s">
        <v>19</v>
      </c>
      <c r="T71" t="s">
        <v>110</v>
      </c>
      <c r="U71" s="12">
        <v>195</v>
      </c>
      <c r="W71" s="27" t="s">
        <v>19</v>
      </c>
      <c r="X71" t="s">
        <v>110</v>
      </c>
      <c r="Y71" s="12">
        <v>10185.899999999996</v>
      </c>
    </row>
    <row r="72" spans="4:25" x14ac:dyDescent="0.2">
      <c r="D72" s="15"/>
      <c r="E72" s="12"/>
      <c r="S72" s="27" t="s">
        <v>19</v>
      </c>
      <c r="T72" t="s">
        <v>292</v>
      </c>
      <c r="U72" s="12">
        <v>20</v>
      </c>
      <c r="W72" s="27" t="s">
        <v>19</v>
      </c>
      <c r="X72" t="s">
        <v>292</v>
      </c>
      <c r="Y72" s="12">
        <v>958.7</v>
      </c>
    </row>
    <row r="73" spans="4:25" x14ac:dyDescent="0.2">
      <c r="D73" s="15"/>
      <c r="E73" s="12"/>
      <c r="S73" s="27" t="s">
        <v>19</v>
      </c>
      <c r="T73" t="s">
        <v>79</v>
      </c>
      <c r="U73" s="12">
        <v>6</v>
      </c>
      <c r="W73" s="27" t="s">
        <v>19</v>
      </c>
      <c r="X73" t="s">
        <v>79</v>
      </c>
      <c r="Y73" s="12">
        <v>323</v>
      </c>
    </row>
    <row r="74" spans="4:25" x14ac:dyDescent="0.2">
      <c r="D74" s="15"/>
      <c r="E74" s="12"/>
      <c r="S74" s="27" t="s">
        <v>19</v>
      </c>
      <c r="T74" t="s">
        <v>608</v>
      </c>
      <c r="U74" s="12">
        <v>5</v>
      </c>
      <c r="W74" s="27" t="s">
        <v>19</v>
      </c>
      <c r="X74" t="s">
        <v>608</v>
      </c>
      <c r="Y74" s="12">
        <v>167.70000000000002</v>
      </c>
    </row>
    <row r="75" spans="4:25" x14ac:dyDescent="0.2">
      <c r="D75" s="15"/>
      <c r="E75" s="12"/>
      <c r="S75" s="27" t="s">
        <v>19</v>
      </c>
      <c r="T75" t="s">
        <v>113</v>
      </c>
      <c r="U75" s="12">
        <v>94</v>
      </c>
      <c r="W75" s="27" t="s">
        <v>19</v>
      </c>
      <c r="X75" t="s">
        <v>113</v>
      </c>
      <c r="Y75" s="12">
        <v>3978.5</v>
      </c>
    </row>
    <row r="76" spans="4:25" x14ac:dyDescent="0.2">
      <c r="D76" s="15"/>
      <c r="E76" s="12"/>
      <c r="S76" s="27" t="s">
        <v>19</v>
      </c>
      <c r="T76" t="s">
        <v>997</v>
      </c>
      <c r="U76" s="12">
        <v>28</v>
      </c>
      <c r="W76" s="27" t="s">
        <v>19</v>
      </c>
      <c r="X76" t="s">
        <v>997</v>
      </c>
      <c r="Y76" s="12">
        <v>1405</v>
      </c>
    </row>
    <row r="77" spans="4:25" x14ac:dyDescent="0.2">
      <c r="D77" s="15"/>
      <c r="E77" s="12"/>
      <c r="S77" s="27" t="s">
        <v>19</v>
      </c>
      <c r="T77" t="s">
        <v>82</v>
      </c>
      <c r="U77" s="12">
        <v>179</v>
      </c>
      <c r="W77" s="27" t="s">
        <v>19</v>
      </c>
      <c r="X77" t="s">
        <v>82</v>
      </c>
      <c r="Y77" s="12">
        <v>9869.0999999999985</v>
      </c>
    </row>
    <row r="78" spans="4:25" x14ac:dyDescent="0.2">
      <c r="D78" s="15"/>
      <c r="E78" s="12"/>
      <c r="S78" s="27" t="s">
        <v>19</v>
      </c>
      <c r="T78" t="s">
        <v>243</v>
      </c>
      <c r="U78" s="12">
        <v>15</v>
      </c>
      <c r="W78" s="27" t="s">
        <v>19</v>
      </c>
      <c r="X78" t="s">
        <v>243</v>
      </c>
      <c r="Y78" s="12">
        <v>615.29999999999995</v>
      </c>
    </row>
    <row r="79" spans="4:25" x14ac:dyDescent="0.2">
      <c r="D79" s="15"/>
      <c r="E79" s="12"/>
      <c r="S79" s="28" t="s">
        <v>19</v>
      </c>
      <c r="T79" t="s">
        <v>1911</v>
      </c>
      <c r="U79" s="12">
        <v>3</v>
      </c>
      <c r="W79" s="28" t="s">
        <v>19</v>
      </c>
      <c r="X79" t="s">
        <v>1911</v>
      </c>
      <c r="Y79" s="12">
        <v>285</v>
      </c>
    </row>
    <row r="80" spans="4:25" x14ac:dyDescent="0.2">
      <c r="D80" s="15"/>
      <c r="E80" s="12"/>
    </row>
    <row r="81" spans="4:5" x14ac:dyDescent="0.2">
      <c r="D81" s="15"/>
      <c r="E81" s="12"/>
    </row>
    <row r="82" spans="4:5" x14ac:dyDescent="0.2">
      <c r="D82" s="15"/>
      <c r="E82" s="12"/>
    </row>
    <row r="83" spans="4:5" x14ac:dyDescent="0.2">
      <c r="D83" s="15"/>
      <c r="E83" s="12"/>
    </row>
    <row r="84" spans="4:5" x14ac:dyDescent="0.2">
      <c r="D84" s="15"/>
      <c r="E84" s="12"/>
    </row>
    <row r="85" spans="4:5" x14ac:dyDescent="0.2">
      <c r="D85" s="15"/>
      <c r="E85" s="12"/>
    </row>
    <row r="86" spans="4:5" x14ac:dyDescent="0.2">
      <c r="D86" s="15"/>
      <c r="E86" s="12"/>
    </row>
    <row r="87" spans="4:5" x14ac:dyDescent="0.2">
      <c r="D87" s="15"/>
      <c r="E87" s="12"/>
    </row>
    <row r="88" spans="4:5" x14ac:dyDescent="0.2">
      <c r="D88" s="15"/>
      <c r="E88" s="12"/>
    </row>
    <row r="89" spans="4:5" x14ac:dyDescent="0.2">
      <c r="D89" s="15"/>
      <c r="E89" s="12"/>
    </row>
    <row r="90" spans="4:5" x14ac:dyDescent="0.2">
      <c r="D90" s="15"/>
      <c r="E90" s="12"/>
    </row>
    <row r="91" spans="4:5" x14ac:dyDescent="0.2">
      <c r="D91" s="15"/>
      <c r="E91"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DCEAC-32F3-2B48-9516-E25FFB361002}">
  <dimension ref="A1"/>
  <sheetViews>
    <sheetView tabSelected="1" zoomScale="96" workbookViewId="0">
      <selection activeCell="G51" sqref="G51"/>
    </sheetView>
  </sheetViews>
  <sheetFormatPr baseColWidth="10" defaultColWidth="0" defaultRowHeight="15" x14ac:dyDescent="0.2"/>
  <cols>
    <col min="1" max="1" width="3.5" customWidth="1"/>
    <col min="2" max="2" width="30.5" customWidth="1"/>
    <col min="3" max="3" width="3.5" customWidth="1"/>
    <col min="4" max="26" width="10.83203125" customWidth="1"/>
    <col min="27" max="16384" width="10.83203125" hidden="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98C2D-1F7F-064A-A2E5-16370198A645}">
  <dimension ref="A3:L23"/>
  <sheetViews>
    <sheetView workbookViewId="0">
      <selection activeCell="C21" sqref="C21"/>
    </sheetView>
  </sheetViews>
  <sheetFormatPr baseColWidth="10" defaultRowHeight="15" x14ac:dyDescent="0.2"/>
  <cols>
    <col min="1" max="1" width="12.1640625" bestFit="1" customWidth="1"/>
    <col min="2" max="2" width="15.1640625" bestFit="1" customWidth="1"/>
    <col min="3" max="3" width="3.1640625" bestFit="1" customWidth="1"/>
    <col min="4" max="6" width="4.1640625" bestFit="1" customWidth="1"/>
    <col min="7" max="7" width="10" bestFit="1" customWidth="1"/>
    <col min="8" max="32" width="8.6640625" bestFit="1" customWidth="1"/>
    <col min="33" max="89" width="9" bestFit="1" customWidth="1"/>
    <col min="90" max="90" width="10" bestFit="1" customWidth="1"/>
  </cols>
  <sheetData>
    <row r="3" spans="1:12" x14ac:dyDescent="0.2">
      <c r="A3" s="14" t="s">
        <v>2554</v>
      </c>
      <c r="B3" s="14" t="s">
        <v>2564</v>
      </c>
      <c r="H3" t="s">
        <v>2569</v>
      </c>
    </row>
    <row r="4" spans="1:12" x14ac:dyDescent="0.2">
      <c r="A4" s="14" t="s">
        <v>2562</v>
      </c>
      <c r="B4" t="s">
        <v>2565</v>
      </c>
      <c r="C4" t="s">
        <v>2566</v>
      </c>
      <c r="D4" t="s">
        <v>2567</v>
      </c>
      <c r="E4" t="s">
        <v>2568</v>
      </c>
      <c r="F4" t="s">
        <v>2563</v>
      </c>
      <c r="H4" s="18"/>
      <c r="I4" s="19" t="s">
        <v>2570</v>
      </c>
      <c r="J4" s="19" t="s">
        <v>2566</v>
      </c>
      <c r="K4" s="19" t="s">
        <v>2567</v>
      </c>
      <c r="L4" s="20" t="s">
        <v>2568</v>
      </c>
    </row>
    <row r="5" spans="1:12" x14ac:dyDescent="0.2">
      <c r="A5" s="15" t="s">
        <v>18</v>
      </c>
      <c r="B5" s="17">
        <v>0.18961825201634841</v>
      </c>
      <c r="C5" s="17">
        <v>0.12262322351336576</v>
      </c>
      <c r="D5" s="17">
        <v>1.060537752469185E-2</v>
      </c>
      <c r="E5" s="17">
        <v>3.0599220547662797E-2</v>
      </c>
      <c r="F5" s="17">
        <v>0.35344607360206881</v>
      </c>
      <c r="H5" s="21" t="str">
        <f>A5</f>
        <v>App</v>
      </c>
      <c r="I5" s="22">
        <f t="shared" ref="I5:M9" si="0">B5</f>
        <v>0.18961825201634841</v>
      </c>
      <c r="J5" s="22">
        <f t="shared" si="0"/>
        <v>0.12262322351336576</v>
      </c>
      <c r="K5" s="22">
        <f t="shared" si="0"/>
        <v>1.060537752469185E-2</v>
      </c>
      <c r="L5" s="23">
        <f t="shared" si="0"/>
        <v>3.0599220547662797E-2</v>
      </c>
    </row>
    <row r="6" spans="1:12" x14ac:dyDescent="0.2">
      <c r="A6" s="15" t="s">
        <v>51</v>
      </c>
      <c r="B6" s="17">
        <v>5.0283982091147303E-2</v>
      </c>
      <c r="C6" s="17">
        <v>4.3060781812819873E-2</v>
      </c>
      <c r="D6" s="17">
        <v>1.5320025675641944E-3</v>
      </c>
      <c r="E6" s="17">
        <v>1.7794988689097006E-2</v>
      </c>
      <c r="F6" s="17">
        <v>0.11267175516062837</v>
      </c>
      <c r="H6" s="21" t="str">
        <f t="shared" ref="H6:H9" si="1">A6</f>
        <v>Instagram</v>
      </c>
      <c r="I6" s="22">
        <f t="shared" si="0"/>
        <v>5.0283982091147303E-2</v>
      </c>
      <c r="J6" s="22">
        <f t="shared" si="0"/>
        <v>4.3060781812819873E-2</v>
      </c>
      <c r="K6" s="22">
        <f t="shared" si="0"/>
        <v>1.5320025675641944E-3</v>
      </c>
      <c r="L6" s="23">
        <f t="shared" si="0"/>
        <v>1.7794988689097006E-2</v>
      </c>
    </row>
    <row r="7" spans="1:12" x14ac:dyDescent="0.2">
      <c r="A7" s="15" t="s">
        <v>70</v>
      </c>
      <c r="B7" s="17">
        <v>6.3496059750411282E-2</v>
      </c>
      <c r="C7" s="17">
        <v>4.6071629863988765E-2</v>
      </c>
      <c r="D7" s="17">
        <v>2.306247051322625E-3</v>
      </c>
      <c r="E7" s="17">
        <v>3.8927934093844286E-3</v>
      </c>
      <c r="F7" s="17">
        <v>0.11576673007510711</v>
      </c>
      <c r="H7" s="21" t="str">
        <f t="shared" si="1"/>
        <v>Partner App</v>
      </c>
      <c r="I7" s="22">
        <f t="shared" si="0"/>
        <v>6.3496059750411282E-2</v>
      </c>
      <c r="J7" s="22">
        <f t="shared" si="0"/>
        <v>4.6071629863988765E-2</v>
      </c>
      <c r="K7" s="22">
        <f t="shared" si="0"/>
        <v>2.306247051322625E-3</v>
      </c>
      <c r="L7" s="23">
        <f t="shared" si="0"/>
        <v>3.8927934093844286E-3</v>
      </c>
    </row>
    <row r="8" spans="1:12" x14ac:dyDescent="0.2">
      <c r="A8" s="15" t="s">
        <v>40</v>
      </c>
      <c r="B8" s="17">
        <v>9.6337892927149532E-2</v>
      </c>
      <c r="C8" s="17">
        <v>6.7920115842382611E-2</v>
      </c>
      <c r="D8" s="17">
        <v>5.4979832664581261E-3</v>
      </c>
      <c r="E8" s="17">
        <v>1.2933041488102518E-2</v>
      </c>
      <c r="F8" s="17">
        <v>0.1826890335240928</v>
      </c>
      <c r="H8" s="21" t="str">
        <f t="shared" si="1"/>
        <v>Target.com</v>
      </c>
      <c r="I8" s="22">
        <f t="shared" si="0"/>
        <v>9.6337892927149532E-2</v>
      </c>
      <c r="J8" s="22">
        <f t="shared" si="0"/>
        <v>6.7920115842382611E-2</v>
      </c>
      <c r="K8" s="22">
        <f t="shared" si="0"/>
        <v>5.4979832664581261E-3</v>
      </c>
      <c r="L8" s="23">
        <f t="shared" si="0"/>
        <v>1.2933041488102518E-2</v>
      </c>
    </row>
    <row r="9" spans="1:12" x14ac:dyDescent="0.2">
      <c r="A9" s="15" t="s">
        <v>35</v>
      </c>
      <c r="B9" s="17">
        <v>0.12522098709469262</v>
      </c>
      <c r="C9" s="17">
        <v>9.1492740283116228E-2</v>
      </c>
      <c r="D9" s="17">
        <v>6.3042760790965081E-3</v>
      </c>
      <c r="E9" s="17">
        <v>1.2408404181197551E-2</v>
      </c>
      <c r="F9" s="17">
        <v>0.23542640763810288</v>
      </c>
      <c r="H9" s="24" t="str">
        <f t="shared" si="1"/>
        <v>Website</v>
      </c>
      <c r="I9" s="25">
        <f t="shared" si="0"/>
        <v>0.12522098709469262</v>
      </c>
      <c r="J9" s="25">
        <f t="shared" si="0"/>
        <v>9.1492740283116228E-2</v>
      </c>
      <c r="K9" s="25">
        <f t="shared" si="0"/>
        <v>6.3042760790965081E-3</v>
      </c>
      <c r="L9" s="26">
        <f t="shared" si="0"/>
        <v>1.2408404181197551E-2</v>
      </c>
    </row>
    <row r="10" spans="1:12" x14ac:dyDescent="0.2">
      <c r="A10" s="15" t="s">
        <v>2563</v>
      </c>
      <c r="B10" s="17">
        <v>0.52495717387974916</v>
      </c>
      <c r="C10" s="17">
        <v>0.3711684913156732</v>
      </c>
      <c r="D10" s="17">
        <v>2.6245886489133303E-2</v>
      </c>
      <c r="E10" s="17">
        <v>7.7628448315444312E-2</v>
      </c>
      <c r="F10" s="17">
        <v>1</v>
      </c>
    </row>
    <row r="16" spans="1:12" x14ac:dyDescent="0.2">
      <c r="A16" t="s">
        <v>2576</v>
      </c>
    </row>
    <row r="18" spans="1:7" x14ac:dyDescent="0.2">
      <c r="A18" s="14" t="s">
        <v>2552</v>
      </c>
      <c r="B18" s="14" t="s">
        <v>2564</v>
      </c>
    </row>
    <row r="19" spans="1:7" x14ac:dyDescent="0.2">
      <c r="A19" s="14" t="s">
        <v>2562</v>
      </c>
      <c r="B19">
        <v>1</v>
      </c>
      <c r="C19">
        <v>2</v>
      </c>
      <c r="D19">
        <v>3</v>
      </c>
      <c r="E19">
        <v>4</v>
      </c>
      <c r="F19">
        <v>5</v>
      </c>
      <c r="G19" t="s">
        <v>2563</v>
      </c>
    </row>
    <row r="20" spans="1:7" x14ac:dyDescent="0.2">
      <c r="A20" s="15" t="s">
        <v>2577</v>
      </c>
      <c r="B20" s="12">
        <v>2</v>
      </c>
      <c r="C20" s="12">
        <v>11</v>
      </c>
      <c r="D20" s="12">
        <v>39</v>
      </c>
      <c r="E20" s="12">
        <v>113</v>
      </c>
      <c r="F20" s="12">
        <v>92</v>
      </c>
      <c r="G20" s="12">
        <v>257</v>
      </c>
    </row>
    <row r="21" spans="1:7" x14ac:dyDescent="0.2">
      <c r="A21" s="15" t="s">
        <v>2578</v>
      </c>
      <c r="B21" s="12">
        <v>5</v>
      </c>
      <c r="C21" s="12">
        <v>11</v>
      </c>
      <c r="D21" s="12">
        <v>70</v>
      </c>
      <c r="E21" s="12">
        <v>150</v>
      </c>
      <c r="F21" s="12">
        <v>84</v>
      </c>
      <c r="G21" s="12">
        <v>320</v>
      </c>
    </row>
    <row r="22" spans="1:7" x14ac:dyDescent="0.2">
      <c r="A22" s="15" t="s">
        <v>2579</v>
      </c>
      <c r="B22" s="12">
        <v>2</v>
      </c>
      <c r="C22" s="12">
        <v>10</v>
      </c>
      <c r="D22" s="12">
        <v>64</v>
      </c>
      <c r="E22" s="12">
        <v>130</v>
      </c>
      <c r="F22" s="12">
        <v>85</v>
      </c>
      <c r="G22" s="12">
        <v>291</v>
      </c>
    </row>
    <row r="23" spans="1:7" x14ac:dyDescent="0.2">
      <c r="A23" s="15" t="s">
        <v>2563</v>
      </c>
      <c r="B23" s="12">
        <v>9</v>
      </c>
      <c r="C23" s="12">
        <v>32</v>
      </c>
      <c r="D23" s="12">
        <v>173</v>
      </c>
      <c r="E23" s="12">
        <v>393</v>
      </c>
      <c r="F23" s="12">
        <v>261</v>
      </c>
      <c r="G23" s="12">
        <v>868</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B2" sqref="B2"/>
    </sheetView>
  </sheetViews>
  <sheetFormatPr baseColWidth="10" defaultColWidth="8.83203125" defaultRowHeight="15" x14ac:dyDescent="0.2"/>
  <cols>
    <col min="2" max="2" width="19.1640625" bestFit="1" customWidth="1"/>
    <col min="3" max="3" width="8.1640625" bestFit="1" customWidth="1"/>
    <col min="4" max="4" width="9.1640625" bestFit="1" customWidth="1"/>
    <col min="5" max="5" width="7.5" bestFit="1" customWidth="1"/>
    <col min="6" max="6" width="10" bestFit="1" customWidth="1"/>
    <col min="7" max="7" width="9.5" bestFit="1" customWidth="1"/>
    <col min="8" max="8" width="15.6640625" bestFit="1" customWidth="1"/>
    <col min="9" max="9" width="10.6640625" bestFit="1" customWidth="1"/>
    <col min="10" max="10" width="7.83203125" bestFit="1" customWidth="1"/>
    <col min="11" max="11" width="8.83203125" bestFit="1" customWidth="1"/>
    <col min="12" max="12" width="19.6640625" bestFit="1" customWidth="1"/>
    <col min="13" max="13" width="13.33203125" bestFit="1" customWidth="1"/>
    <col min="14" max="14" width="9.33203125" bestFit="1" customWidth="1"/>
    <col min="15" max="15" width="12.1640625" bestFit="1" customWidth="1"/>
  </cols>
  <sheetData>
    <row r="1" spans="1:15" x14ac:dyDescent="0.2">
      <c r="A1" t="s">
        <v>0</v>
      </c>
      <c r="B1" t="s">
        <v>1</v>
      </c>
      <c r="C1" t="s">
        <v>2</v>
      </c>
      <c r="D1" t="s">
        <v>3</v>
      </c>
      <c r="E1" t="s">
        <v>4</v>
      </c>
      <c r="F1" t="s">
        <v>5</v>
      </c>
      <c r="G1" t="s">
        <v>6</v>
      </c>
      <c r="H1" t="s">
        <v>7</v>
      </c>
      <c r="I1" t="s">
        <v>8</v>
      </c>
      <c r="J1" t="s">
        <v>9</v>
      </c>
      <c r="K1" t="s">
        <v>10</v>
      </c>
      <c r="L1" t="s">
        <v>11</v>
      </c>
      <c r="M1" s="2" t="s">
        <v>12</v>
      </c>
      <c r="N1" s="2" t="s">
        <v>13</v>
      </c>
      <c r="O1" s="2" t="s">
        <v>14</v>
      </c>
    </row>
    <row r="2" spans="1:15" x14ac:dyDescent="0.2">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H15" sqref="H15"/>
    </sheetView>
  </sheetViews>
  <sheetFormatPr baseColWidth="10" defaultColWidth="8.83203125" defaultRowHeight="15" x14ac:dyDescent="0.2"/>
  <cols>
    <col min="1" max="1" width="3.33203125" customWidth="1"/>
    <col min="8" max="8" width="37.33203125" customWidth="1"/>
  </cols>
  <sheetData>
    <row r="2" spans="2:8" x14ac:dyDescent="0.2">
      <c r="H2" t="s">
        <v>2547</v>
      </c>
    </row>
    <row r="3" spans="2:8" x14ac:dyDescent="0.2">
      <c r="B3" t="s">
        <v>2517</v>
      </c>
    </row>
    <row r="4" spans="2:8" x14ac:dyDescent="0.2">
      <c r="H4" s="10" t="s">
        <v>2548</v>
      </c>
    </row>
    <row r="5" spans="2:8" x14ac:dyDescent="0.2">
      <c r="B5" t="s">
        <v>2518</v>
      </c>
      <c r="H5" s="10" t="s">
        <v>2549</v>
      </c>
    </row>
    <row r="6" spans="2:8" x14ac:dyDescent="0.2">
      <c r="B6" s="4"/>
      <c r="C6" t="s">
        <v>2519</v>
      </c>
      <c r="D6" t="s">
        <v>2525</v>
      </c>
      <c r="H6" t="s">
        <v>2550</v>
      </c>
    </row>
    <row r="7" spans="2:8" x14ac:dyDescent="0.2">
      <c r="B7" s="5"/>
      <c r="C7" t="s">
        <v>2520</v>
      </c>
      <c r="D7" t="s">
        <v>2526</v>
      </c>
    </row>
    <row r="8" spans="2:8" x14ac:dyDescent="0.2">
      <c r="B8" s="6"/>
      <c r="C8" t="s">
        <v>2521</v>
      </c>
      <c r="D8" t="s">
        <v>2527</v>
      </c>
    </row>
    <row r="9" spans="2:8" x14ac:dyDescent="0.2">
      <c r="B9" s="7"/>
      <c r="C9" t="s">
        <v>2522</v>
      </c>
      <c r="D9" t="s">
        <v>2528</v>
      </c>
    </row>
    <row r="10" spans="2:8" x14ac:dyDescent="0.2">
      <c r="B10" s="8"/>
      <c r="C10" t="s">
        <v>2523</v>
      </c>
      <c r="D10" t="s">
        <v>2529</v>
      </c>
    </row>
    <row r="11" spans="2:8" x14ac:dyDescent="0.2">
      <c r="B11" s="2"/>
      <c r="C11" t="s">
        <v>2524</v>
      </c>
      <c r="D11" t="s">
        <v>2530</v>
      </c>
    </row>
    <row r="13" spans="2:8" x14ac:dyDescent="0.2">
      <c r="B13" t="s">
        <v>2531</v>
      </c>
    </row>
    <row r="14" spans="2:8" x14ac:dyDescent="0.2">
      <c r="B14" t="s">
        <v>2532</v>
      </c>
      <c r="C14" t="s">
        <v>2537</v>
      </c>
    </row>
    <row r="15" spans="2:8" x14ac:dyDescent="0.2">
      <c r="B15" t="s">
        <v>2533</v>
      </c>
      <c r="C15" t="s">
        <v>2</v>
      </c>
    </row>
    <row r="16" spans="2:8" x14ac:dyDescent="0.2">
      <c r="B16" t="s">
        <v>2534</v>
      </c>
      <c r="C16" t="s">
        <v>4</v>
      </c>
    </row>
    <row r="17" spans="2:3" x14ac:dyDescent="0.2">
      <c r="B17" t="s">
        <v>2535</v>
      </c>
      <c r="C17" t="s">
        <v>2538</v>
      </c>
    </row>
    <row r="18" spans="2:3" x14ac:dyDescent="0.2">
      <c r="B18" t="s">
        <v>2536</v>
      </c>
      <c r="C18" t="s">
        <v>2539</v>
      </c>
    </row>
    <row r="21" spans="2:3" x14ac:dyDescent="0.2">
      <c r="B21" t="s">
        <v>2540</v>
      </c>
    </row>
    <row r="22" spans="2:3" x14ac:dyDescent="0.2">
      <c r="B22" t="s">
        <v>2541</v>
      </c>
      <c r="C22" t="s">
        <v>2542</v>
      </c>
    </row>
    <row r="23" spans="2:3" x14ac:dyDescent="0.2">
      <c r="B23" t="s">
        <v>2543</v>
      </c>
      <c r="C23" t="s">
        <v>2544</v>
      </c>
    </row>
    <row r="24" spans="2:3" x14ac:dyDescent="0.2">
      <c r="B24" s="9" t="s">
        <v>2545</v>
      </c>
      <c r="C24" t="s">
        <v>2546</v>
      </c>
    </row>
  </sheetData>
  <phoneticPr fontId="2" type="noConversion"/>
  <hyperlinks>
    <hyperlink ref="H4" r:id="rId1" xr:uid="{A77862B0-B580-43DF-9272-7B32B5A35427}"/>
    <hyperlink ref="H5" r:id="rId2" xr:uid="{602AE8E3-2587-4F74-A241-C4690768D1E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1E80F-A748-6F49-A958-7257CF46AEA6}">
  <dimension ref="B2:B18"/>
  <sheetViews>
    <sheetView workbookViewId="0">
      <selection activeCell="B8" sqref="B8"/>
    </sheetView>
  </sheetViews>
  <sheetFormatPr baseColWidth="10" defaultRowHeight="15" x14ac:dyDescent="0.2"/>
  <cols>
    <col min="1" max="1" width="4.5" customWidth="1"/>
    <col min="2" max="2" width="46.33203125" customWidth="1"/>
  </cols>
  <sheetData>
    <row r="2" spans="2:2" x14ac:dyDescent="0.2">
      <c r="B2" s="11" t="s">
        <v>2503</v>
      </c>
    </row>
    <row r="3" spans="2:2" x14ac:dyDescent="0.2">
      <c r="B3" t="s">
        <v>2504</v>
      </c>
    </row>
    <row r="4" spans="2:2" x14ac:dyDescent="0.2">
      <c r="B4" t="s">
        <v>2505</v>
      </c>
    </row>
    <row r="5" spans="2:2" x14ac:dyDescent="0.2">
      <c r="B5" t="s">
        <v>2506</v>
      </c>
    </row>
    <row r="6" spans="2:2" x14ac:dyDescent="0.2">
      <c r="B6" t="s">
        <v>2507</v>
      </c>
    </row>
    <row r="7" spans="2:2" x14ac:dyDescent="0.2">
      <c r="B7" t="s">
        <v>2508</v>
      </c>
    </row>
    <row r="10" spans="2:2" x14ac:dyDescent="0.2">
      <c r="B10" s="11" t="s">
        <v>2509</v>
      </c>
    </row>
    <row r="11" spans="2:2" x14ac:dyDescent="0.2">
      <c r="B11" t="s">
        <v>2510</v>
      </c>
    </row>
    <row r="12" spans="2:2" x14ac:dyDescent="0.2">
      <c r="B12" t="s">
        <v>2511</v>
      </c>
    </row>
    <row r="13" spans="2:2" x14ac:dyDescent="0.2">
      <c r="B13" t="s">
        <v>2512</v>
      </c>
    </row>
    <row r="14" spans="2:2" x14ac:dyDescent="0.2">
      <c r="B14" t="s">
        <v>2513</v>
      </c>
    </row>
    <row r="15" spans="2:2" x14ac:dyDescent="0.2">
      <c r="B15" t="s">
        <v>2514</v>
      </c>
    </row>
    <row r="16" spans="2:2" x14ac:dyDescent="0.2">
      <c r="B16" t="s">
        <v>2515</v>
      </c>
    </row>
    <row r="17" spans="2:2" x14ac:dyDescent="0.2">
      <c r="B17" t="s">
        <v>2551</v>
      </c>
    </row>
    <row r="18" spans="2:2" x14ac:dyDescent="0.2">
      <c r="B18" t="s">
        <v>2516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Pivot</vt:lpstr>
      <vt:lpstr>Dashboard</vt:lpstr>
      <vt:lpstr>Sheet4</vt:lpstr>
      <vt:lpstr>Data</vt:lpstr>
      <vt:lpstr>Logo &amp; Colors</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Dikeola Ogunmola</cp:lastModifiedBy>
  <dcterms:created xsi:type="dcterms:W3CDTF">2025-06-13T02:42:26Z</dcterms:created>
  <dcterms:modified xsi:type="dcterms:W3CDTF">2026-03-30T22:09:44Z</dcterms:modified>
</cp:coreProperties>
</file>