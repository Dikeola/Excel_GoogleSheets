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ikeola\Downloads\"/>
    </mc:Choice>
  </mc:AlternateContent>
  <xr:revisionPtr revIDLastSave="0" documentId="8_{7A46450A-5239-47FC-B70A-04FCF0EB99E3}" xr6:coauthVersionLast="47" xr6:coauthVersionMax="47" xr10:uidLastSave="{00000000-0000-0000-0000-000000000000}"/>
  <bookViews>
    <workbookView xWindow="-108" yWindow="-108" windowWidth="23256" windowHeight="13896" activeTab="2" xr2:uid="{408BA6AB-5196-496B-9C80-B057CC378CDA}"/>
  </bookViews>
  <sheets>
    <sheet name="Data" sheetId="1" r:id="rId1"/>
    <sheet name="Pivot" sheetId="2" r:id="rId2"/>
    <sheet name="DASHBOARD" sheetId="3" r:id="rId3"/>
  </sheets>
  <definedNames>
    <definedName name="Slicer_Department">#N/A</definedName>
    <definedName name="Slicer_Gender">#N/A</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0" i="2" l="1"/>
  <c r="H19" i="2"/>
  <c r="G20" i="2"/>
  <c r="G19" i="2"/>
  <c r="I14" i="2"/>
  <c r="I15" i="2"/>
  <c r="I13" i="2"/>
  <c r="H14" i="2"/>
  <c r="H15" i="2"/>
  <c r="H13" i="2"/>
  <c r="F14" i="2"/>
  <c r="G14" i="2"/>
  <c r="F15" i="2"/>
  <c r="G15" i="2"/>
  <c r="F16" i="2"/>
  <c r="G16" i="2"/>
  <c r="G13" i="2"/>
  <c r="F13" i="2"/>
</calcChain>
</file>

<file path=xl/sharedStrings.xml><?xml version="1.0" encoding="utf-8"?>
<sst xmlns="http://schemas.openxmlformats.org/spreadsheetml/2006/main" count="827" uniqueCount="223">
  <si>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</si>
  <si>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</si>
  <si>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</si>
  <si>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</si>
  <si>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</si>
  <si>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</si>
  <si>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</si>
  <si>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</si>
  <si>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</si>
  <si>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</si>
  <si>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</si>
  <si>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</si>
  <si>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</si>
  <si>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</si>
  <si>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</si>
  <si>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</si>
  <si>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</si>
  <si>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</si>
  <si>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</si>
  <si>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</si>
  <si>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</si>
  <si>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</si>
  <si>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</si>
  <si>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</si>
  <si>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</si>
  <si>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</si>
  <si>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</si>
  <si>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</si>
  <si>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</si>
  <si>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</si>
  <si>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</si>
  <si>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</si>
  <si>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</si>
  <si>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</si>
  <si>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</si>
  <si>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</si>
  <si>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</si>
  <si>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</si>
  <si>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</si>
  <si>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</si>
  <si>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</si>
  <si>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</si>
  <si>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</si>
  <si>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</si>
  <si>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</si>
  <si>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</si>
  <si>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</si>
  <si>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</si>
  <si>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</si>
  <si>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</si>
  <si>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</si>
  <si>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</si>
  <si>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</si>
  <si>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</si>
  <si>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</si>
  <si>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</si>
  <si>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</si>
  <si>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</si>
  <si>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</si>
  <si>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</si>
  <si>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</si>
  <si>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</si>
  <si>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</si>
  <si>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</si>
  <si>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</si>
  <si>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</si>
  <si>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</si>
  <si>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</si>
  <si>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</si>
  <si>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</si>
  <si>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</si>
  <si>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</si>
  <si>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</si>
  <si>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</si>
  <si>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</si>
  <si>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</si>
  <si>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</si>
  <si>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</si>
  <si>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</si>
  <si>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</si>
  <si>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</si>
  <si>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</si>
  <si>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</si>
  <si>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</si>
  <si>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</si>
  <si>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</si>
  <si>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</si>
  <si>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</si>
  <si>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</si>
  <si>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</si>
  <si>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</si>
  <si>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</si>
  <si>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</si>
  <si>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</si>
  <si>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</si>
  <si>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</si>
  <si>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</si>
  <si>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</si>
  <si>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</si>
  <si>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</si>
  <si>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</si>
  <si>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</si>
  <si>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</si>
  <si>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</si>
  <si>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</si>
  <si>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</si>
  <si>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</si>
  <si>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</si>
  <si>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</si>
  <si>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</si>
  <si>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</si>
  <si>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</si>
  <si>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</si>
  <si>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</si>
  <si>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</si>
  <si>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</si>
  <si>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</si>
  <si>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</si>
  <si>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</si>
  <si>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</si>
  <si>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</si>
  <si>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</si>
  <si>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</si>
  <si>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</si>
  <si>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</si>
  <si>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</si>
  <si>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</si>
  <si>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</si>
  <si>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</si>
  <si>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</si>
  <si>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</si>
  <si>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</si>
  <si>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</si>
  <si>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</si>
  <si>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</si>
  <si>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</si>
  <si>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</si>
  <si>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</si>
  <si>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</si>
  <si>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</si>
  <si>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</si>
  <si>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</si>
  <si>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</si>
  <si>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</si>
  <si>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</si>
  <si>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</si>
  <si>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</si>
  <si>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</si>
  <si>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</si>
  <si>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</si>
  <si>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</si>
  <si>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</si>
  <si>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</si>
  <si>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</si>
  <si>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</si>
  <si>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</si>
  <si>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</si>
  <si>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</si>
  <si>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</si>
  <si>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</si>
  <si>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</si>
  <si>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</si>
  <si>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</si>
  <si>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</si>
  <si>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</si>
  <si>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</si>
  <si>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</si>
  <si>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</si>
  <si>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</si>
  <si>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</si>
  <si>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</si>
  <si>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</si>
  <si>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</si>
  <si>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</si>
  <si>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</si>
  <si>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</si>
  <si>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</si>
  <si>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</si>
  <si>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</si>
  <si>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</si>
  <si>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</si>
  <si>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</si>
  <si>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</si>
  <si>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</si>
  <si>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</si>
  <si>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</si>
  <si>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</si>
  <si>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</si>
  <si>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</si>
  <si>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</si>
  <si>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</si>
  <si>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</si>
  <si>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</si>
  <si>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</si>
  <si>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</si>
  <si>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</si>
  <si>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</si>
  <si>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</si>
  <si>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</si>
  <si>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</si>
  <si>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</si>
  <si>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</si>
  <si>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</si>
  <si>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</si>
  <si>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</si>
  <si>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</si>
  <si>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</si>
  <si>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</si>
  <si>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</si>
  <si>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</si>
  <si>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</si>
  <si>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</si>
  <si>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</si>
  <si>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</si>
  <si>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Count of Full Name</t>
  </si>
  <si>
    <t>Row Labels</t>
  </si>
  <si>
    <t>Grand Total</t>
  </si>
  <si>
    <t>Number of Employees to Employment Status</t>
  </si>
  <si>
    <t>Department Salaries</t>
  </si>
  <si>
    <t>Column Labels</t>
  </si>
  <si>
    <t>Count of Gender</t>
  </si>
  <si>
    <t>Sum of Leave Taken</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</si>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</sst>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0" tint="-4.9989318521683403E-2"/>
      <name val="Kulim Park"/>
    </font>
    <font>
      <sz val="11"/>
      <color theme="1"/>
      <name val="Kulim Park"/>
    </font>
    <font>
      <sz val="11"/>
      <color theme="0" tint="-4.9989318521683403E-2"/>
      <name val="Kulim Park"/>
    </font>
    <font>
      <sz val="11"/>
      <color theme="1"/>
      <name val="Aptos Narrow"/>
      <family val="2"/>
      <scheme val="minor"/>
    </font>
  </fonts>
  <fills count="4">
    <fill>
      <patternFill patternType="none"/>
    </fill>
    <fill>
      <patternFill patternType="gray125"/>
    </fill>
    <fill>
      <patternFill patternType="solid">
        <fgColor rgb="FF282828"/>
        <bgColor indexed="64"/>
      </patternFill>
    </fill>
    <fill>
      <patternFill patternType="solid">
        <fgColor theme="1" tint="0.249977111117893"/>
        <bgColor indexed="64"/>
      </patternFill>
    </fill>
  </fills>
  <borders count="2">
    <border>
      <left/>
      <right/>
      <top/>
      <bottom/>
      <diagonal/>
    </border>
    <border>
      <left/>
      <right/>
      <top style="thin">
        <color theme="1" tint="0.499984740745262"/>
      </top>
      <bottom style="thin">
        <color theme="1" tint="0.499984740745262"/>
      </bottom>
      <diagonal/>
    </border>
  </borders>
  <cellStyleXfs count="2">
    <xf numFmtId="0" fontId="0" fillId="0" borderId="0"/>
    <xf numFmtId="9" fontId="4" fillId="0" borderId="0" applyFont="0" applyFill="0" applyBorder="0" applyAlignment="0" applyProtection="0"/>
  </cellStyleXfs>
  <cellXfs count="11">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xf>
    <xf numFmtId="0" fontId="0" fillId="3" borderId="0" xfId="0" applyFill="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9" fontId="0" fillId="0" borderId="0" xfId="1" applyFont="1"/>
    <xf numFmtId="9" fontId="0" fillId="0" borderId="0" xfId="0" applyNumberFormat="1"/>
  </cellXfs>
  <cellStyles count="2">
    <cellStyle name="Normal" xfId="0" builtinId="0"/>
    <cellStyle name="Percent" xfId="1" builtinId="5"/>
  </cellStyles>
  <dxfs count="23">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dashboard.xlsx]Pivot!Employment Status</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solidFill>
          <a:ln w="19050">
            <a:solidFill>
              <a:schemeClr val="tx1"/>
            </a:solidFill>
          </a:ln>
          <a:effectLst/>
        </c:spPr>
      </c:pivotFmt>
      <c:pivotFmt>
        <c:idx val="2"/>
        <c:spPr>
          <a:solidFill>
            <a:schemeClr val="accent2"/>
          </a:solidFill>
          <a:ln w="19050">
            <a:solidFill>
              <a:schemeClr val="tx1"/>
            </a:solidFill>
          </a:ln>
          <a:effectLst/>
        </c:spPr>
      </c:pivotFmt>
      <c:pivotFmt>
        <c:idx val="3"/>
        <c:spPr>
          <a:solidFill>
            <a:schemeClr val="tx1">
              <a:lumMod val="50000"/>
              <a:lumOff val="50000"/>
            </a:schemeClr>
          </a:solidFill>
          <a:ln w="19050">
            <a:solidFill>
              <a:schemeClr val="tx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tx1"/>
            </a:solidFill>
          </a:ln>
          <a:effectLst/>
        </c:spPr>
      </c:pivotFmt>
      <c:pivotFmt>
        <c:idx val="6"/>
        <c:spPr>
          <a:solidFill>
            <a:schemeClr val="tx1">
              <a:lumMod val="50000"/>
              <a:lumOff val="50000"/>
            </a:schemeClr>
          </a:solidFill>
          <a:ln w="19050">
            <a:solidFill>
              <a:schemeClr val="tx1"/>
            </a:solidFill>
          </a:ln>
          <a:effectLst/>
        </c:spPr>
      </c:pivotFmt>
      <c:pivotFmt>
        <c:idx val="7"/>
        <c:spPr>
          <a:solidFill>
            <a:schemeClr val="bg1"/>
          </a:solidFill>
          <a:ln w="19050">
            <a:solidFill>
              <a:schemeClr val="tx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tx1"/>
            </a:solidFill>
          </a:ln>
          <a:effectLst/>
        </c:spPr>
      </c:pivotFmt>
      <c:pivotFmt>
        <c:idx val="10"/>
        <c:spPr>
          <a:solidFill>
            <a:schemeClr val="tx1">
              <a:lumMod val="50000"/>
              <a:lumOff val="50000"/>
            </a:schemeClr>
          </a:solidFill>
          <a:ln w="19050">
            <a:solidFill>
              <a:schemeClr val="tx1"/>
            </a:solidFill>
          </a:ln>
          <a:effectLst/>
        </c:spPr>
      </c:pivotFmt>
      <c:pivotFmt>
        <c:idx val="11"/>
        <c:spPr>
          <a:solidFill>
            <a:schemeClr val="bg1"/>
          </a:solidFill>
          <a:ln w="19050">
            <a:solidFill>
              <a:schemeClr val="tx1"/>
            </a:solidFill>
          </a:ln>
          <a:effectLst/>
        </c:spPr>
      </c:pivotFmt>
    </c:pivotFmts>
    <c:plotArea>
      <c:layout>
        <c:manualLayout>
          <c:layoutTarget val="inner"/>
          <c:xMode val="edge"/>
          <c:yMode val="edge"/>
          <c:x val="0.10973084886128366"/>
          <c:y val="4.4742729306487698E-2"/>
          <c:w val="0.80124223602484479"/>
          <c:h val="0.865771812080537"/>
        </c:manualLayout>
      </c:layout>
      <c:pieChart>
        <c:varyColors val="1"/>
        <c:ser>
          <c:idx val="0"/>
          <c:order val="0"/>
          <c:tx>
            <c:strRef>
              <c:f>Pivot!$B$2</c:f>
              <c:strCache>
                <c:ptCount val="1"/>
                <c:pt idx="0">
                  <c:v>Total</c:v>
                </c:pt>
              </c:strCache>
            </c:strRef>
          </c:tx>
          <c:dPt>
            <c:idx val="0"/>
            <c:bubble3D val="0"/>
            <c:spPr>
              <a:solidFill>
                <a:schemeClr val="accent2"/>
              </a:solidFill>
              <a:ln w="19050">
                <a:solidFill>
                  <a:schemeClr val="tx1"/>
                </a:solidFill>
              </a:ln>
              <a:effectLst/>
            </c:spPr>
            <c:extLst>
              <c:ext xmlns:c16="http://schemas.microsoft.com/office/drawing/2014/chart" uri="{C3380CC4-5D6E-409C-BE32-E72D297353CC}">
                <c16:uniqueId val="{00000001-88E1-4BA9-9950-5063B485A214}"/>
              </c:ext>
            </c:extLst>
          </c:dPt>
          <c:dPt>
            <c:idx val="1"/>
            <c:bubble3D val="0"/>
            <c:spPr>
              <a:solidFill>
                <a:schemeClr val="tx1">
                  <a:lumMod val="50000"/>
                  <a:lumOff val="50000"/>
                </a:schemeClr>
              </a:solidFill>
              <a:ln w="19050">
                <a:solidFill>
                  <a:schemeClr val="tx1"/>
                </a:solidFill>
              </a:ln>
              <a:effectLst/>
            </c:spPr>
            <c:extLst>
              <c:ext xmlns:c16="http://schemas.microsoft.com/office/drawing/2014/chart" uri="{C3380CC4-5D6E-409C-BE32-E72D297353CC}">
                <c16:uniqueId val="{00000003-88E1-4BA9-9950-5063B485A214}"/>
              </c:ext>
            </c:extLst>
          </c:dPt>
          <c:dPt>
            <c:idx val="2"/>
            <c:bubble3D val="0"/>
            <c:spPr>
              <a:solidFill>
                <a:schemeClr val="bg1"/>
              </a:solidFill>
              <a:ln w="19050">
                <a:solidFill>
                  <a:schemeClr val="tx1"/>
                </a:solidFill>
              </a:ln>
              <a:effectLst/>
            </c:spPr>
            <c:extLst>
              <c:ext xmlns:c16="http://schemas.microsoft.com/office/drawing/2014/chart" uri="{C3380CC4-5D6E-409C-BE32-E72D297353CC}">
                <c16:uniqueId val="{00000005-88E1-4BA9-9950-5063B485A214}"/>
              </c:ext>
            </c:extLst>
          </c:dPt>
          <c:cat>
            <c:strRef>
              <c:f>Pivot!$A$3:$A$6</c:f>
              <c:strCache>
                <c:ptCount val="3"/>
                <c:pt idx="0">
                  <c:v>Contract</c:v>
                </c:pt>
                <c:pt idx="1">
                  <c:v>Full-Time</c:v>
                </c:pt>
                <c:pt idx="2">
                  <c:v>Part-Time</c:v>
                </c:pt>
              </c:strCache>
            </c:strRef>
          </c:cat>
          <c:val>
            <c:numRef>
              <c:f>Pivot!$B$3:$B$6</c:f>
              <c:numCache>
                <c:formatCode>General</c:formatCode>
                <c:ptCount val="3"/>
                <c:pt idx="0">
                  <c:v>17</c:v>
                </c:pt>
                <c:pt idx="1">
                  <c:v>20</c:v>
                </c:pt>
                <c:pt idx="2">
                  <c:v>13</c:v>
                </c:pt>
              </c:numCache>
            </c:numRef>
          </c:val>
          <c:extLst>
            <c:ext xmlns:c16="http://schemas.microsoft.com/office/drawing/2014/chart" uri="{C3380CC4-5D6E-409C-BE32-E72D297353CC}">
              <c16:uniqueId val="{00000006-88E1-4BA9-9950-5063B485A21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dashboard.xlsx]Pivot!Age Range Gender count</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Pivot!$E$2:$E$3</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Pivot!$D$4:$D$9</c:f>
              <c:strCache>
                <c:ptCount val="5"/>
                <c:pt idx="0">
                  <c:v>18-25</c:v>
                </c:pt>
                <c:pt idx="1">
                  <c:v>26-35</c:v>
                </c:pt>
                <c:pt idx="2">
                  <c:v>36-45</c:v>
                </c:pt>
                <c:pt idx="3">
                  <c:v>46-55</c:v>
                </c:pt>
                <c:pt idx="4">
                  <c:v>56 &lt;</c:v>
                </c:pt>
              </c:strCache>
            </c:strRef>
          </c:cat>
          <c:val>
            <c:numRef>
              <c:f>Pivot!$E$4:$E$9</c:f>
              <c:numCache>
                <c:formatCode>General</c:formatCode>
                <c:ptCount val="5"/>
                <c:pt idx="0">
                  <c:v>6</c:v>
                </c:pt>
                <c:pt idx="1">
                  <c:v>7</c:v>
                </c:pt>
                <c:pt idx="2">
                  <c:v>5</c:v>
                </c:pt>
                <c:pt idx="3">
                  <c:v>4</c:v>
                </c:pt>
                <c:pt idx="4">
                  <c:v>4</c:v>
                </c:pt>
              </c:numCache>
            </c:numRef>
          </c:val>
          <c:extLst>
            <c:ext xmlns:c16="http://schemas.microsoft.com/office/drawing/2014/chart" uri="{C3380CC4-5D6E-409C-BE32-E72D297353CC}">
              <c16:uniqueId val="{00000000-518B-4F32-B3B3-2A6F626A7D84}"/>
            </c:ext>
          </c:extLst>
        </c:ser>
        <c:ser>
          <c:idx val="1"/>
          <c:order val="1"/>
          <c:tx>
            <c:strRef>
              <c:f>Pivot!$F$2:$F$3</c:f>
              <c:strCache>
                <c:ptCount val="1"/>
                <c:pt idx="0">
                  <c:v>Male</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Pivot!$D$4:$D$9</c:f>
              <c:strCache>
                <c:ptCount val="5"/>
                <c:pt idx="0">
                  <c:v>18-25</c:v>
                </c:pt>
                <c:pt idx="1">
                  <c:v>26-35</c:v>
                </c:pt>
                <c:pt idx="2">
                  <c:v>36-45</c:v>
                </c:pt>
                <c:pt idx="3">
                  <c:v>46-55</c:v>
                </c:pt>
                <c:pt idx="4">
                  <c:v>56 &lt;</c:v>
                </c:pt>
              </c:strCache>
            </c:strRef>
          </c:cat>
          <c:val>
            <c:numRef>
              <c:f>Pivot!$F$4:$F$9</c:f>
              <c:numCache>
                <c:formatCode>General</c:formatCode>
                <c:ptCount val="5"/>
                <c:pt idx="0">
                  <c:v>3</c:v>
                </c:pt>
                <c:pt idx="1">
                  <c:v>6</c:v>
                </c:pt>
                <c:pt idx="2">
                  <c:v>7</c:v>
                </c:pt>
                <c:pt idx="3">
                  <c:v>3</c:v>
                </c:pt>
                <c:pt idx="4">
                  <c:v>5</c:v>
                </c:pt>
              </c:numCache>
            </c:numRef>
          </c:val>
          <c:extLst>
            <c:ext xmlns:c16="http://schemas.microsoft.com/office/drawing/2014/chart" uri="{C3380CC4-5D6E-409C-BE32-E72D297353CC}">
              <c16:uniqueId val="{00000001-518B-4F32-B3B3-2A6F626A7D84}"/>
            </c:ext>
          </c:extLst>
        </c:ser>
        <c:dLbls>
          <c:dLblPos val="outEnd"/>
          <c:showLegendKey val="0"/>
          <c:showVal val="1"/>
          <c:showCatName val="0"/>
          <c:showSerName val="0"/>
          <c:showPercent val="0"/>
          <c:showBubbleSize val="0"/>
        </c:dLbls>
        <c:gapWidth val="39"/>
        <c:overlap val="-27"/>
        <c:axId val="1627664527"/>
        <c:axId val="1627665007"/>
      </c:barChart>
      <c:catAx>
        <c:axId val="162766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7665007"/>
        <c:crosses val="autoZero"/>
        <c:auto val="1"/>
        <c:lblAlgn val="ctr"/>
        <c:lblOffset val="100"/>
        <c:noMultiLvlLbl val="0"/>
      </c:catAx>
      <c:valAx>
        <c:axId val="1627665007"/>
        <c:scaling>
          <c:orientation val="minMax"/>
        </c:scaling>
        <c:delete val="1"/>
        <c:axPos val="l"/>
        <c:numFmt formatCode="General" sourceLinked="1"/>
        <c:majorTickMark val="none"/>
        <c:minorTickMark val="none"/>
        <c:tickLblPos val="nextTo"/>
        <c:crossAx val="162766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751322751322747E-2"/>
          <c:y val="0.21568627450980393"/>
          <c:w val="0.92724867724867721"/>
          <c:h val="0.56862745098039214"/>
        </c:manualLayout>
      </c:layout>
      <c:barChart>
        <c:barDir val="bar"/>
        <c:grouping val="stacked"/>
        <c:varyColors val="0"/>
        <c:ser>
          <c:idx val="0"/>
          <c:order val="0"/>
          <c:spPr>
            <a:solidFill>
              <a:schemeClr val="accent2"/>
            </a:solidFill>
            <a:ln>
              <a:noFill/>
            </a:ln>
            <a:effectLst/>
          </c:spPr>
          <c:invertIfNegative val="0"/>
          <c:val>
            <c:numRef>
              <c:f>Pivot!$H$13</c:f>
              <c:numCache>
                <c:formatCode>0%</c:formatCode>
                <c:ptCount val="1"/>
                <c:pt idx="0">
                  <c:v>0.46</c:v>
                </c:pt>
              </c:numCache>
            </c:numRef>
          </c:val>
          <c:extLst>
            <c:ext xmlns:c16="http://schemas.microsoft.com/office/drawing/2014/chart" uri="{C3380CC4-5D6E-409C-BE32-E72D297353CC}">
              <c16:uniqueId val="{00000000-4C93-468B-9711-9F54F331A200}"/>
            </c:ext>
          </c:extLst>
        </c:ser>
        <c:ser>
          <c:idx val="1"/>
          <c:order val="1"/>
          <c:spPr>
            <a:solidFill>
              <a:schemeClr val="tx1">
                <a:lumMod val="85000"/>
                <a:lumOff val="15000"/>
              </a:schemeClr>
            </a:solidFill>
            <a:ln>
              <a:noFill/>
            </a:ln>
            <a:effectLst/>
          </c:spPr>
          <c:invertIfNegative val="0"/>
          <c:val>
            <c:numRef>
              <c:f>Pivot!$I$13</c:f>
              <c:numCache>
                <c:formatCode>0%</c:formatCode>
                <c:ptCount val="1"/>
                <c:pt idx="0">
                  <c:v>0.54</c:v>
                </c:pt>
              </c:numCache>
            </c:numRef>
          </c:val>
          <c:extLst>
            <c:ext xmlns:c16="http://schemas.microsoft.com/office/drawing/2014/chart" uri="{C3380CC4-5D6E-409C-BE32-E72D297353CC}">
              <c16:uniqueId val="{00000001-4C93-468B-9711-9F54F331A200}"/>
            </c:ext>
          </c:extLst>
        </c:ser>
        <c:dLbls>
          <c:showLegendKey val="0"/>
          <c:showVal val="0"/>
          <c:showCatName val="0"/>
          <c:showSerName val="0"/>
          <c:showPercent val="0"/>
          <c:showBubbleSize val="0"/>
        </c:dLbls>
        <c:gapWidth val="150"/>
        <c:overlap val="100"/>
        <c:axId val="1721115311"/>
        <c:axId val="1525391775"/>
      </c:barChart>
      <c:catAx>
        <c:axId val="1721115311"/>
        <c:scaling>
          <c:orientation val="minMax"/>
        </c:scaling>
        <c:delete val="1"/>
        <c:axPos val="l"/>
        <c:majorTickMark val="none"/>
        <c:minorTickMark val="none"/>
        <c:tickLblPos val="nextTo"/>
        <c:crossAx val="1525391775"/>
        <c:crosses val="autoZero"/>
        <c:auto val="1"/>
        <c:lblAlgn val="ctr"/>
        <c:lblOffset val="100"/>
        <c:noMultiLvlLbl val="0"/>
      </c:catAx>
      <c:valAx>
        <c:axId val="1525391775"/>
        <c:scaling>
          <c:orientation val="minMax"/>
        </c:scaling>
        <c:delete val="1"/>
        <c:axPos val="b"/>
        <c:numFmt formatCode="0%" sourceLinked="1"/>
        <c:majorTickMark val="none"/>
        <c:minorTickMark val="none"/>
        <c:tickLblPos val="nextTo"/>
        <c:crossAx val="172111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solidFill>
            <a:ln>
              <a:noFill/>
            </a:ln>
            <a:effectLst/>
          </c:spPr>
          <c:invertIfNegative val="0"/>
          <c:val>
            <c:numRef>
              <c:f>Pivot!$H$14</c:f>
              <c:numCache>
                <c:formatCode>0%</c:formatCode>
                <c:ptCount val="1"/>
                <c:pt idx="0">
                  <c:v>0.16</c:v>
                </c:pt>
              </c:numCache>
            </c:numRef>
          </c:val>
          <c:extLst>
            <c:ext xmlns:c16="http://schemas.microsoft.com/office/drawing/2014/chart" uri="{C3380CC4-5D6E-409C-BE32-E72D297353CC}">
              <c16:uniqueId val="{00000000-BCE9-46B2-BEAC-0BA31441ED29}"/>
            </c:ext>
          </c:extLst>
        </c:ser>
        <c:ser>
          <c:idx val="1"/>
          <c:order val="1"/>
          <c:spPr>
            <a:solidFill>
              <a:schemeClr val="tx1">
                <a:lumMod val="85000"/>
                <a:lumOff val="15000"/>
              </a:schemeClr>
            </a:solidFill>
            <a:ln>
              <a:noFill/>
            </a:ln>
            <a:effectLst/>
          </c:spPr>
          <c:invertIfNegative val="0"/>
          <c:val>
            <c:numRef>
              <c:f>Pivot!$I$14</c:f>
              <c:numCache>
                <c:formatCode>0%</c:formatCode>
                <c:ptCount val="1"/>
                <c:pt idx="0">
                  <c:v>0.84</c:v>
                </c:pt>
              </c:numCache>
            </c:numRef>
          </c:val>
          <c:extLst>
            <c:ext xmlns:c16="http://schemas.microsoft.com/office/drawing/2014/chart" uri="{C3380CC4-5D6E-409C-BE32-E72D297353CC}">
              <c16:uniqueId val="{00000001-BCE9-46B2-BEAC-0BA31441ED29}"/>
            </c:ext>
          </c:extLst>
        </c:ser>
        <c:dLbls>
          <c:showLegendKey val="0"/>
          <c:showVal val="0"/>
          <c:showCatName val="0"/>
          <c:showSerName val="0"/>
          <c:showPercent val="0"/>
          <c:showBubbleSize val="0"/>
        </c:dLbls>
        <c:gapWidth val="150"/>
        <c:overlap val="100"/>
        <c:axId val="1721115311"/>
        <c:axId val="1525391775"/>
      </c:barChart>
      <c:catAx>
        <c:axId val="1721115311"/>
        <c:scaling>
          <c:orientation val="minMax"/>
        </c:scaling>
        <c:delete val="1"/>
        <c:axPos val="l"/>
        <c:majorTickMark val="none"/>
        <c:minorTickMark val="none"/>
        <c:tickLblPos val="nextTo"/>
        <c:crossAx val="1525391775"/>
        <c:crosses val="autoZero"/>
        <c:auto val="1"/>
        <c:lblAlgn val="ctr"/>
        <c:lblOffset val="100"/>
        <c:noMultiLvlLbl val="0"/>
      </c:catAx>
      <c:valAx>
        <c:axId val="1525391775"/>
        <c:scaling>
          <c:orientation val="minMax"/>
        </c:scaling>
        <c:delete val="1"/>
        <c:axPos val="b"/>
        <c:numFmt formatCode="0%" sourceLinked="1"/>
        <c:majorTickMark val="none"/>
        <c:minorTickMark val="none"/>
        <c:tickLblPos val="nextTo"/>
        <c:crossAx val="172111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0355125100887811E-2"/>
          <c:y val="9.90990990990991E-2"/>
          <c:w val="0.91121872477804677"/>
          <c:h val="0.80180180180180183"/>
        </c:manualLayout>
      </c:layout>
      <c:barChart>
        <c:barDir val="bar"/>
        <c:grouping val="stacked"/>
        <c:varyColors val="0"/>
        <c:ser>
          <c:idx val="0"/>
          <c:order val="0"/>
          <c:spPr>
            <a:solidFill>
              <a:schemeClr val="accent2"/>
            </a:solidFill>
            <a:ln>
              <a:noFill/>
            </a:ln>
            <a:effectLst/>
          </c:spPr>
          <c:invertIfNegative val="0"/>
          <c:val>
            <c:numRef>
              <c:f>Pivot!$H$15</c:f>
              <c:numCache>
                <c:formatCode>0%</c:formatCode>
                <c:ptCount val="1"/>
                <c:pt idx="0">
                  <c:v>0.38</c:v>
                </c:pt>
              </c:numCache>
            </c:numRef>
          </c:val>
          <c:extLst>
            <c:ext xmlns:c16="http://schemas.microsoft.com/office/drawing/2014/chart" uri="{C3380CC4-5D6E-409C-BE32-E72D297353CC}">
              <c16:uniqueId val="{00000000-B383-435D-A0A6-92EAF05F764B}"/>
            </c:ext>
          </c:extLst>
        </c:ser>
        <c:ser>
          <c:idx val="1"/>
          <c:order val="1"/>
          <c:spPr>
            <a:solidFill>
              <a:schemeClr val="tx1">
                <a:lumMod val="85000"/>
                <a:lumOff val="15000"/>
              </a:schemeClr>
            </a:solidFill>
            <a:ln>
              <a:noFill/>
            </a:ln>
            <a:effectLst/>
          </c:spPr>
          <c:invertIfNegative val="0"/>
          <c:val>
            <c:numRef>
              <c:f>Pivot!$I$15</c:f>
              <c:numCache>
                <c:formatCode>0%</c:formatCode>
                <c:ptCount val="1"/>
                <c:pt idx="0">
                  <c:v>0.62</c:v>
                </c:pt>
              </c:numCache>
            </c:numRef>
          </c:val>
          <c:extLst>
            <c:ext xmlns:c16="http://schemas.microsoft.com/office/drawing/2014/chart" uri="{C3380CC4-5D6E-409C-BE32-E72D297353CC}">
              <c16:uniqueId val="{00000001-B383-435D-A0A6-92EAF05F764B}"/>
            </c:ext>
          </c:extLst>
        </c:ser>
        <c:dLbls>
          <c:showLegendKey val="0"/>
          <c:showVal val="0"/>
          <c:showCatName val="0"/>
          <c:showSerName val="0"/>
          <c:showPercent val="0"/>
          <c:showBubbleSize val="0"/>
        </c:dLbls>
        <c:gapWidth val="150"/>
        <c:overlap val="100"/>
        <c:axId val="1721115311"/>
        <c:axId val="1525391775"/>
      </c:barChart>
      <c:catAx>
        <c:axId val="1721115311"/>
        <c:scaling>
          <c:orientation val="minMax"/>
        </c:scaling>
        <c:delete val="1"/>
        <c:axPos val="l"/>
        <c:majorTickMark val="none"/>
        <c:minorTickMark val="none"/>
        <c:tickLblPos val="nextTo"/>
        <c:crossAx val="1525391775"/>
        <c:crosses val="autoZero"/>
        <c:auto val="1"/>
        <c:lblAlgn val="ctr"/>
        <c:lblOffset val="100"/>
        <c:noMultiLvlLbl val="0"/>
      </c:catAx>
      <c:valAx>
        <c:axId val="1525391775"/>
        <c:scaling>
          <c:orientation val="minMax"/>
        </c:scaling>
        <c:delete val="1"/>
        <c:axPos val="b"/>
        <c:numFmt formatCode="0%" sourceLinked="1"/>
        <c:majorTickMark val="none"/>
        <c:minorTickMark val="none"/>
        <c:tickLblPos val="nextTo"/>
        <c:crossAx val="172111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647696476964768"/>
          <c:y val="0.14550264550264549"/>
          <c:w val="0.4850948509485094"/>
          <c:h val="0.85449735449735453"/>
        </c:manualLayout>
      </c:layout>
      <c:doughnutChart>
        <c:varyColors val="1"/>
        <c:ser>
          <c:idx val="2"/>
          <c:order val="0"/>
          <c:spPr>
            <a:ln>
              <a:noFill/>
            </a:ln>
          </c:spPr>
          <c:dPt>
            <c:idx val="0"/>
            <c:bubble3D val="0"/>
            <c:spPr>
              <a:solidFill>
                <a:schemeClr val="bg1"/>
              </a:solidFill>
              <a:ln>
                <a:noFill/>
              </a:ln>
            </c:spPr>
            <c:extLst>
              <c:ext xmlns:c16="http://schemas.microsoft.com/office/drawing/2014/chart" uri="{C3380CC4-5D6E-409C-BE32-E72D297353CC}">
                <c16:uniqueId val="{0000001B-806E-4677-893B-15228AAAA1CA}"/>
              </c:ext>
            </c:extLst>
          </c:dPt>
          <c:dPt>
            <c:idx val="1"/>
            <c:bubble3D val="0"/>
            <c:spPr>
              <a:solidFill>
                <a:schemeClr val="tx1">
                  <a:lumMod val="85000"/>
                  <a:lumOff val="15000"/>
                </a:schemeClr>
              </a:solidFill>
              <a:ln>
                <a:noFill/>
              </a:ln>
            </c:spPr>
            <c:extLst>
              <c:ext xmlns:c16="http://schemas.microsoft.com/office/drawing/2014/chart" uri="{C3380CC4-5D6E-409C-BE32-E72D297353CC}">
                <c16:uniqueId val="{0000001C-806E-4677-893B-15228AAAA1CA}"/>
              </c:ext>
            </c:extLst>
          </c:dPt>
          <c:val>
            <c:numRef>
              <c:f>Pivot!$G$19:$H$19</c:f>
              <c:numCache>
                <c:formatCode>0%</c:formatCode>
                <c:ptCount val="2"/>
                <c:pt idx="0">
                  <c:v>0.52</c:v>
                </c:pt>
                <c:pt idx="1">
                  <c:v>0.48</c:v>
                </c:pt>
              </c:numCache>
            </c:numRef>
          </c:val>
          <c:extLst>
            <c:ext xmlns:c16="http://schemas.microsoft.com/office/drawing/2014/chart" uri="{C3380CC4-5D6E-409C-BE32-E72D297353CC}">
              <c16:uniqueId val="{0000001A-806E-4677-893B-15228AAAA1CA}"/>
            </c:ext>
          </c:extLst>
        </c:ser>
        <c:ser>
          <c:idx val="3"/>
          <c:order val="1"/>
          <c:spPr>
            <a:ln>
              <a:noFill/>
            </a:ln>
          </c:spPr>
          <c:dPt>
            <c:idx val="0"/>
            <c:bubble3D val="0"/>
            <c:spPr>
              <a:solidFill>
                <a:schemeClr val="bg1"/>
              </a:solidFill>
              <a:ln w="19050">
                <a:noFill/>
              </a:ln>
              <a:effectLst/>
            </c:spPr>
            <c:extLst>
              <c:ext xmlns:c16="http://schemas.microsoft.com/office/drawing/2014/chart" uri="{C3380CC4-5D6E-409C-BE32-E72D297353CC}">
                <c16:uniqueId val="{0000001E-806E-4677-893B-15228AAAA1CA}"/>
              </c:ext>
            </c:extLst>
          </c:dPt>
          <c:dPt>
            <c:idx val="1"/>
            <c:bubble3D val="0"/>
            <c:spPr>
              <a:solidFill>
                <a:schemeClr val="tx1">
                  <a:lumMod val="85000"/>
                  <a:lumOff val="15000"/>
                </a:schemeClr>
              </a:solidFill>
              <a:ln w="19050">
                <a:noFill/>
              </a:ln>
              <a:effectLst/>
            </c:spPr>
            <c:extLst>
              <c:ext xmlns:c16="http://schemas.microsoft.com/office/drawing/2014/chart" uri="{C3380CC4-5D6E-409C-BE32-E72D297353CC}">
                <c16:uniqueId val="{0000001F-806E-4677-893B-15228AAAA1CA}"/>
              </c:ext>
            </c:extLst>
          </c:dPt>
          <c:val>
            <c:numRef>
              <c:f>Pivot!$G$19:$H$19</c:f>
              <c:numCache>
                <c:formatCode>0%</c:formatCode>
                <c:ptCount val="2"/>
                <c:pt idx="0">
                  <c:v>0.52</c:v>
                </c:pt>
                <c:pt idx="1">
                  <c:v>0.48</c:v>
                </c:pt>
              </c:numCache>
            </c:numRef>
          </c:val>
          <c:extLst>
            <c:ext xmlns:c16="http://schemas.microsoft.com/office/drawing/2014/chart" uri="{C3380CC4-5D6E-409C-BE32-E72D297353CC}">
              <c16:uniqueId val="{0000001D-806E-4677-893B-15228AAAA1CA}"/>
            </c:ext>
          </c:extLst>
        </c:ser>
        <c:ser>
          <c:idx val="1"/>
          <c:order val="2"/>
          <c:spPr>
            <a:ln>
              <a:noFill/>
            </a:ln>
          </c:spPr>
          <c:dPt>
            <c:idx val="0"/>
            <c:bubble3D val="0"/>
            <c:spPr>
              <a:solidFill>
                <a:schemeClr val="bg1"/>
              </a:solidFill>
              <a:ln>
                <a:noFill/>
              </a:ln>
            </c:spPr>
            <c:extLst>
              <c:ext xmlns:c16="http://schemas.microsoft.com/office/drawing/2014/chart" uri="{C3380CC4-5D6E-409C-BE32-E72D297353CC}">
                <c16:uniqueId val="{00000010-806E-4677-893B-15228AAAA1CA}"/>
              </c:ext>
            </c:extLst>
          </c:dPt>
          <c:dPt>
            <c:idx val="1"/>
            <c:bubble3D val="0"/>
            <c:spPr>
              <a:solidFill>
                <a:schemeClr val="tx1">
                  <a:lumMod val="85000"/>
                  <a:lumOff val="15000"/>
                </a:schemeClr>
              </a:solidFill>
              <a:ln>
                <a:noFill/>
              </a:ln>
            </c:spPr>
            <c:extLst>
              <c:ext xmlns:c16="http://schemas.microsoft.com/office/drawing/2014/chart" uri="{C3380CC4-5D6E-409C-BE32-E72D297353CC}">
                <c16:uniqueId val="{00000012-806E-4677-893B-15228AAAA1CA}"/>
              </c:ext>
            </c:extLst>
          </c:dPt>
          <c:val>
            <c:numRef>
              <c:f>Pivot!$G$19:$H$19</c:f>
              <c:numCache>
                <c:formatCode>0%</c:formatCode>
                <c:ptCount val="2"/>
                <c:pt idx="0">
                  <c:v>0.52</c:v>
                </c:pt>
                <c:pt idx="1">
                  <c:v>0.48</c:v>
                </c:pt>
              </c:numCache>
            </c:numRef>
          </c:val>
          <c:extLst>
            <c:ext xmlns:c16="http://schemas.microsoft.com/office/drawing/2014/chart" uri="{C3380CC4-5D6E-409C-BE32-E72D297353CC}">
              <c16:uniqueId val="{00000013-806E-4677-893B-15228AAAA1CA}"/>
            </c:ext>
          </c:extLst>
        </c:ser>
        <c:ser>
          <c:idx val="0"/>
          <c:order val="3"/>
          <c:spPr>
            <a:ln>
              <a:noFill/>
            </a:ln>
          </c:spPr>
          <c:dPt>
            <c:idx val="0"/>
            <c:bubble3D val="0"/>
            <c:spPr>
              <a:solidFill>
                <a:schemeClr val="bg1"/>
              </a:solidFill>
              <a:ln w="19050">
                <a:noFill/>
              </a:ln>
              <a:effectLst/>
            </c:spPr>
            <c:extLst>
              <c:ext xmlns:c16="http://schemas.microsoft.com/office/drawing/2014/chart" uri="{C3380CC4-5D6E-409C-BE32-E72D297353CC}">
                <c16:uniqueId val="{00000016-806E-4677-893B-15228AAAA1CA}"/>
              </c:ext>
            </c:extLst>
          </c:dPt>
          <c:dPt>
            <c:idx val="1"/>
            <c:bubble3D val="0"/>
            <c:spPr>
              <a:solidFill>
                <a:schemeClr val="tx1">
                  <a:lumMod val="85000"/>
                  <a:lumOff val="15000"/>
                </a:schemeClr>
              </a:solidFill>
              <a:ln w="19050">
                <a:noFill/>
              </a:ln>
              <a:effectLst/>
            </c:spPr>
            <c:extLst>
              <c:ext xmlns:c16="http://schemas.microsoft.com/office/drawing/2014/chart" uri="{C3380CC4-5D6E-409C-BE32-E72D297353CC}">
                <c16:uniqueId val="{00000018-806E-4677-893B-15228AAAA1CA}"/>
              </c:ext>
            </c:extLst>
          </c:dPt>
          <c:val>
            <c:numRef>
              <c:f>Pivot!$G$19:$H$19</c:f>
              <c:numCache>
                <c:formatCode>0%</c:formatCode>
                <c:ptCount val="2"/>
                <c:pt idx="0">
                  <c:v>0.52</c:v>
                </c:pt>
                <c:pt idx="1">
                  <c:v>0.48</c:v>
                </c:pt>
              </c:numCache>
            </c:numRef>
          </c:val>
          <c:extLst>
            <c:ext xmlns:c16="http://schemas.microsoft.com/office/drawing/2014/chart" uri="{C3380CC4-5D6E-409C-BE32-E72D297353CC}">
              <c16:uniqueId val="{00000019-806E-4677-893B-15228AAAA1CA}"/>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464531698638344"/>
          <c:y val="0"/>
          <c:w val="0.70731671041119848"/>
          <c:h val="0.76882251131652013"/>
        </c:manualLayout>
      </c:layout>
      <c:doughnutChart>
        <c:varyColors val="1"/>
        <c:ser>
          <c:idx val="2"/>
          <c:order val="0"/>
          <c:dPt>
            <c:idx val="0"/>
            <c:bubble3D val="0"/>
            <c:spPr>
              <a:solidFill>
                <a:schemeClr val="accent2"/>
              </a:solidFill>
            </c:spPr>
            <c:extLst>
              <c:ext xmlns:c16="http://schemas.microsoft.com/office/drawing/2014/chart" uri="{C3380CC4-5D6E-409C-BE32-E72D297353CC}">
                <c16:uniqueId val="{0000001B-806E-4677-893B-15228AAAA1CA}"/>
              </c:ext>
            </c:extLst>
          </c:dPt>
          <c:dPt>
            <c:idx val="1"/>
            <c:bubble3D val="0"/>
            <c:spPr>
              <a:solidFill>
                <a:schemeClr val="tx1">
                  <a:lumMod val="85000"/>
                  <a:lumOff val="15000"/>
                </a:schemeClr>
              </a:solidFill>
            </c:spPr>
            <c:extLst>
              <c:ext xmlns:c16="http://schemas.microsoft.com/office/drawing/2014/chart" uri="{C3380CC4-5D6E-409C-BE32-E72D297353CC}">
                <c16:uniqueId val="{0000001C-806E-4677-893B-15228AAAA1CA}"/>
              </c:ext>
            </c:extLst>
          </c:dPt>
          <c:val>
            <c:numRef>
              <c:f>Pivot!$G$20:$H$20</c:f>
              <c:numCache>
                <c:formatCode>0%</c:formatCode>
                <c:ptCount val="2"/>
                <c:pt idx="0">
                  <c:v>0.48</c:v>
                </c:pt>
                <c:pt idx="1">
                  <c:v>0.52</c:v>
                </c:pt>
              </c:numCache>
            </c:numRef>
          </c:val>
          <c:extLst>
            <c:ext xmlns:c16="http://schemas.microsoft.com/office/drawing/2014/chart" uri="{C3380CC4-5D6E-409C-BE32-E72D297353CC}">
              <c16:uniqueId val="{0000001A-806E-4677-893B-15228AAAA1CA}"/>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dashboard.xlsx]Pivot!Salaries</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Pivot!$A$10:$A$15</c:f>
              <c:strCache>
                <c:ptCount val="5"/>
                <c:pt idx="0">
                  <c:v>Analyst</c:v>
                </c:pt>
                <c:pt idx="1">
                  <c:v>Designer</c:v>
                </c:pt>
                <c:pt idx="2">
                  <c:v>Developer</c:v>
                </c:pt>
                <c:pt idx="3">
                  <c:v>HR Specialist</c:v>
                </c:pt>
                <c:pt idx="4">
                  <c:v>Manager</c:v>
                </c:pt>
              </c:strCache>
            </c:strRef>
          </c:cat>
          <c:val>
            <c:numRef>
              <c:f>Pivot!$B$10:$B$15</c:f>
              <c:numCache>
                <c:formatCode>General</c:formatCode>
                <c:ptCount val="5"/>
                <c:pt idx="0">
                  <c:v>28</c:v>
                </c:pt>
                <c:pt idx="1">
                  <c:v>110</c:v>
                </c:pt>
                <c:pt idx="2">
                  <c:v>104</c:v>
                </c:pt>
                <c:pt idx="3">
                  <c:v>123</c:v>
                </c:pt>
                <c:pt idx="4">
                  <c:v>122</c:v>
                </c:pt>
              </c:numCache>
            </c:numRef>
          </c:val>
          <c:extLst>
            <c:ext xmlns:c16="http://schemas.microsoft.com/office/drawing/2014/chart" uri="{C3380CC4-5D6E-409C-BE32-E72D297353CC}">
              <c16:uniqueId val="{00000000-1C42-44CD-8476-CF38E09EEEC7}"/>
            </c:ext>
          </c:extLst>
        </c:ser>
        <c:dLbls>
          <c:dLblPos val="outEnd"/>
          <c:showLegendKey val="0"/>
          <c:showVal val="1"/>
          <c:showCatName val="0"/>
          <c:showSerName val="0"/>
          <c:showPercent val="0"/>
          <c:showBubbleSize val="0"/>
        </c:dLbls>
        <c:gapWidth val="219"/>
        <c:overlap val="-27"/>
        <c:axId val="1743843679"/>
        <c:axId val="1743841759"/>
      </c:barChart>
      <c:catAx>
        <c:axId val="174384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43841759"/>
        <c:crosses val="autoZero"/>
        <c:auto val="1"/>
        <c:lblAlgn val="ctr"/>
        <c:lblOffset val="100"/>
        <c:noMultiLvlLbl val="0"/>
      </c:catAx>
      <c:valAx>
        <c:axId val="1743841759"/>
        <c:scaling>
          <c:orientation val="minMax"/>
        </c:scaling>
        <c:delete val="1"/>
        <c:axPos val="l"/>
        <c:numFmt formatCode="General" sourceLinked="1"/>
        <c:majorTickMark val="none"/>
        <c:minorTickMark val="none"/>
        <c:tickLblPos val="nextTo"/>
        <c:crossAx val="174384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dashboard.xlsx]Pivot!PivotTable7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184192884980287"/>
          <c:y val="0.12643678160919541"/>
          <c:w val="0.6215779845701106"/>
          <c:h val="0.74712643678160917"/>
        </c:manualLayout>
      </c:layout>
      <c:barChart>
        <c:barDir val="bar"/>
        <c:grouping val="clustered"/>
        <c:varyColors val="0"/>
        <c:ser>
          <c:idx val="0"/>
          <c:order val="0"/>
          <c:tx>
            <c:strRef>
              <c:f>Pivot!$F$25</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Pivot!$E$26:$E$31</c:f>
              <c:strCache>
                <c:ptCount val="5"/>
                <c:pt idx="0">
                  <c:v>Central</c:v>
                </c:pt>
                <c:pt idx="1">
                  <c:v>East</c:v>
                </c:pt>
                <c:pt idx="2">
                  <c:v>North</c:v>
                </c:pt>
                <c:pt idx="3">
                  <c:v>South</c:v>
                </c:pt>
                <c:pt idx="4">
                  <c:v>West</c:v>
                </c:pt>
              </c:strCache>
            </c:strRef>
          </c:cat>
          <c:val>
            <c:numRef>
              <c:f>Pivot!$F$26:$F$31</c:f>
              <c:numCache>
                <c:formatCode>General</c:formatCode>
                <c:ptCount val="5"/>
                <c:pt idx="0">
                  <c:v>14</c:v>
                </c:pt>
                <c:pt idx="1">
                  <c:v>10</c:v>
                </c:pt>
                <c:pt idx="2">
                  <c:v>7</c:v>
                </c:pt>
                <c:pt idx="3">
                  <c:v>10</c:v>
                </c:pt>
                <c:pt idx="4">
                  <c:v>9</c:v>
                </c:pt>
              </c:numCache>
            </c:numRef>
          </c:val>
          <c:extLst>
            <c:ext xmlns:c16="http://schemas.microsoft.com/office/drawing/2014/chart" uri="{C3380CC4-5D6E-409C-BE32-E72D297353CC}">
              <c16:uniqueId val="{00000000-755E-4878-B218-09672E46B44C}"/>
            </c:ext>
          </c:extLst>
        </c:ser>
        <c:dLbls>
          <c:dLblPos val="outEnd"/>
          <c:showLegendKey val="0"/>
          <c:showVal val="1"/>
          <c:showCatName val="0"/>
          <c:showSerName val="0"/>
          <c:showPercent val="0"/>
          <c:showBubbleSize val="0"/>
        </c:dLbls>
        <c:gapWidth val="182"/>
        <c:axId val="1805659759"/>
        <c:axId val="1805660239"/>
      </c:barChart>
      <c:catAx>
        <c:axId val="180565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05660239"/>
        <c:crosses val="autoZero"/>
        <c:auto val="1"/>
        <c:lblAlgn val="ctr"/>
        <c:lblOffset val="100"/>
        <c:noMultiLvlLbl val="0"/>
      </c:catAx>
      <c:valAx>
        <c:axId val="1805660239"/>
        <c:scaling>
          <c:orientation val="minMax"/>
        </c:scaling>
        <c:delete val="1"/>
        <c:axPos val="b"/>
        <c:numFmt formatCode="General" sourceLinked="1"/>
        <c:majorTickMark val="none"/>
        <c:minorTickMark val="none"/>
        <c:tickLblPos val="nextTo"/>
        <c:crossAx val="180565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chart" Target="../charts/chart8.xml"/><Relationship Id="rId17" Type="http://schemas.openxmlformats.org/officeDocument/2006/relationships/image" Target="../media/image8.svg"/><Relationship Id="rId2" Type="http://schemas.openxmlformats.org/officeDocument/2006/relationships/chart" Target="../charts/chart2.xml"/><Relationship Id="rId16" Type="http://schemas.openxmlformats.org/officeDocument/2006/relationships/image" Target="../media/image7.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chart" Target="../charts/chart7.xml"/><Relationship Id="rId5" Type="http://schemas.openxmlformats.org/officeDocument/2006/relationships/chart" Target="../charts/chart5.xml"/><Relationship Id="rId15" Type="http://schemas.openxmlformats.org/officeDocument/2006/relationships/image" Target="../media/image6.svg"/><Relationship Id="rId10" Type="http://schemas.openxmlformats.org/officeDocument/2006/relationships/chart" Target="../charts/chart6.xml"/><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121920</xdr:colOff>
      <xdr:row>0</xdr:row>
      <xdr:rowOff>7620</xdr:rowOff>
    </xdr:from>
    <xdr:to>
      <xdr:col>16</xdr:col>
      <xdr:colOff>129540</xdr:colOff>
      <xdr:row>36</xdr:row>
      <xdr:rowOff>15240</xdr:rowOff>
    </xdr:to>
    <xdr:sp macro="" textlink="">
      <xdr:nvSpPr>
        <xdr:cNvPr id="2" name="Rectangle: Rounded Corners 1">
          <a:extLst>
            <a:ext uri="{FF2B5EF4-FFF2-40B4-BE49-F238E27FC236}">
              <a16:creationId xmlns:a16="http://schemas.microsoft.com/office/drawing/2014/main" id="{ED8CADCA-635A-2ACD-5EBC-3D3EC4062577}"/>
            </a:ext>
          </a:extLst>
        </xdr:cNvPr>
        <xdr:cNvSpPr/>
      </xdr:nvSpPr>
      <xdr:spPr>
        <a:xfrm>
          <a:off x="121920" y="7620"/>
          <a:ext cx="9761220" cy="6591300"/>
        </a:xfrm>
        <a:prstGeom prst="roundRect">
          <a:avLst>
            <a:gd name="adj" fmla="val 2922"/>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213360</xdr:colOff>
      <xdr:row>7</xdr:row>
      <xdr:rowOff>30480</xdr:rowOff>
    </xdr:from>
    <xdr:to>
      <xdr:col>4</xdr:col>
      <xdr:colOff>45720</xdr:colOff>
      <xdr:row>23</xdr:row>
      <xdr:rowOff>129540</xdr:rowOff>
    </xdr:to>
    <xdr:sp macro="" textlink="">
      <xdr:nvSpPr>
        <xdr:cNvPr id="3" name="Rectangle: Rounded Corners 2">
          <a:extLst>
            <a:ext uri="{FF2B5EF4-FFF2-40B4-BE49-F238E27FC236}">
              <a16:creationId xmlns:a16="http://schemas.microsoft.com/office/drawing/2014/main" id="{138B5EA4-4292-702C-5C5E-C7B5B4D0E7C1}"/>
            </a:ext>
          </a:extLst>
        </xdr:cNvPr>
        <xdr:cNvSpPr/>
      </xdr:nvSpPr>
      <xdr:spPr>
        <a:xfrm>
          <a:off x="213360" y="1310640"/>
          <a:ext cx="2270760" cy="302514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0</xdr:col>
      <xdr:colOff>259080</xdr:colOff>
      <xdr:row>24</xdr:row>
      <xdr:rowOff>99060</xdr:rowOff>
    </xdr:from>
    <xdr:to>
      <xdr:col>4</xdr:col>
      <xdr:colOff>91440</xdr:colOff>
      <xdr:row>35</xdr:row>
      <xdr:rowOff>114300</xdr:rowOff>
    </xdr:to>
    <xdr:sp macro="" textlink="">
      <xdr:nvSpPr>
        <xdr:cNvPr id="4" name="Rectangle: Rounded Corners 3">
          <a:extLst>
            <a:ext uri="{FF2B5EF4-FFF2-40B4-BE49-F238E27FC236}">
              <a16:creationId xmlns:a16="http://schemas.microsoft.com/office/drawing/2014/main" id="{E929503D-9D88-4A21-A7B6-95D70ED94A11}"/>
            </a:ext>
          </a:extLst>
        </xdr:cNvPr>
        <xdr:cNvSpPr/>
      </xdr:nvSpPr>
      <xdr:spPr>
        <a:xfrm>
          <a:off x="259080" y="4488180"/>
          <a:ext cx="2270760" cy="202692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4</xdr:col>
      <xdr:colOff>160020</xdr:colOff>
      <xdr:row>7</xdr:row>
      <xdr:rowOff>45720</xdr:rowOff>
    </xdr:from>
    <xdr:to>
      <xdr:col>8</xdr:col>
      <xdr:colOff>91440</xdr:colOff>
      <xdr:row>14</xdr:row>
      <xdr:rowOff>91440</xdr:rowOff>
    </xdr:to>
    <xdr:sp macro="" textlink="">
      <xdr:nvSpPr>
        <xdr:cNvPr id="5" name="Rectangle: Rounded Corners 4">
          <a:extLst>
            <a:ext uri="{FF2B5EF4-FFF2-40B4-BE49-F238E27FC236}">
              <a16:creationId xmlns:a16="http://schemas.microsoft.com/office/drawing/2014/main" id="{7901BB62-9366-4EFF-ACEF-EEB28D27F7D0}"/>
            </a:ext>
          </a:extLst>
        </xdr:cNvPr>
        <xdr:cNvSpPr/>
      </xdr:nvSpPr>
      <xdr:spPr>
        <a:xfrm>
          <a:off x="2598420" y="1325880"/>
          <a:ext cx="2369820" cy="132588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4</xdr:col>
      <xdr:colOff>160020</xdr:colOff>
      <xdr:row>14</xdr:row>
      <xdr:rowOff>167640</xdr:rowOff>
    </xdr:from>
    <xdr:to>
      <xdr:col>6</xdr:col>
      <xdr:colOff>76200</xdr:colOff>
      <xdr:row>22</xdr:row>
      <xdr:rowOff>30480</xdr:rowOff>
    </xdr:to>
    <xdr:sp macro="" textlink="">
      <xdr:nvSpPr>
        <xdr:cNvPr id="6" name="Rectangle: Rounded Corners 5">
          <a:extLst>
            <a:ext uri="{FF2B5EF4-FFF2-40B4-BE49-F238E27FC236}">
              <a16:creationId xmlns:a16="http://schemas.microsoft.com/office/drawing/2014/main" id="{C2304D6E-22B5-4BF8-9B1C-CDF460793F15}"/>
            </a:ext>
          </a:extLst>
        </xdr:cNvPr>
        <xdr:cNvSpPr/>
      </xdr:nvSpPr>
      <xdr:spPr>
        <a:xfrm>
          <a:off x="2598420" y="2727960"/>
          <a:ext cx="1135380" cy="132588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6</xdr:col>
      <xdr:colOff>152400</xdr:colOff>
      <xdr:row>14</xdr:row>
      <xdr:rowOff>167640</xdr:rowOff>
    </xdr:from>
    <xdr:to>
      <xdr:col>8</xdr:col>
      <xdr:colOff>68580</xdr:colOff>
      <xdr:row>22</xdr:row>
      <xdr:rowOff>30480</xdr:rowOff>
    </xdr:to>
    <xdr:sp macro="" textlink="">
      <xdr:nvSpPr>
        <xdr:cNvPr id="7" name="Rectangle: Rounded Corners 6">
          <a:extLst>
            <a:ext uri="{FF2B5EF4-FFF2-40B4-BE49-F238E27FC236}">
              <a16:creationId xmlns:a16="http://schemas.microsoft.com/office/drawing/2014/main" id="{44614D9E-97B7-4E88-9D0A-BB6AC944B091}"/>
            </a:ext>
          </a:extLst>
        </xdr:cNvPr>
        <xdr:cNvSpPr/>
      </xdr:nvSpPr>
      <xdr:spPr>
        <a:xfrm>
          <a:off x="3810000" y="2727960"/>
          <a:ext cx="1135380" cy="132588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4</xdr:col>
      <xdr:colOff>160020</xdr:colOff>
      <xdr:row>22</xdr:row>
      <xdr:rowOff>152400</xdr:rowOff>
    </xdr:from>
    <xdr:to>
      <xdr:col>8</xdr:col>
      <xdr:colOff>91440</xdr:colOff>
      <xdr:row>35</xdr:row>
      <xdr:rowOff>129540</xdr:rowOff>
    </xdr:to>
    <xdr:sp macro="" textlink="">
      <xdr:nvSpPr>
        <xdr:cNvPr id="8" name="Rectangle: Rounded Corners 7">
          <a:extLst>
            <a:ext uri="{FF2B5EF4-FFF2-40B4-BE49-F238E27FC236}">
              <a16:creationId xmlns:a16="http://schemas.microsoft.com/office/drawing/2014/main" id="{7128365D-D0FC-4E34-A8B8-83AB5FB379B1}"/>
            </a:ext>
          </a:extLst>
        </xdr:cNvPr>
        <xdr:cNvSpPr/>
      </xdr:nvSpPr>
      <xdr:spPr>
        <a:xfrm>
          <a:off x="2598420" y="4175760"/>
          <a:ext cx="2369820" cy="235458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8</xdr:col>
      <xdr:colOff>182880</xdr:colOff>
      <xdr:row>7</xdr:row>
      <xdr:rowOff>15240</xdr:rowOff>
    </xdr:from>
    <xdr:to>
      <xdr:col>12</xdr:col>
      <xdr:colOff>306029</xdr:colOff>
      <xdr:row>21</xdr:row>
      <xdr:rowOff>83820</xdr:rowOff>
    </xdr:to>
    <xdr:sp macro="" textlink="">
      <xdr:nvSpPr>
        <xdr:cNvPr id="9" name="Rectangle: Rounded Corners 8">
          <a:extLst>
            <a:ext uri="{FF2B5EF4-FFF2-40B4-BE49-F238E27FC236}">
              <a16:creationId xmlns:a16="http://schemas.microsoft.com/office/drawing/2014/main" id="{BD1745B9-EA95-4F71-9E06-B47E075C726F}"/>
            </a:ext>
          </a:extLst>
        </xdr:cNvPr>
        <xdr:cNvSpPr/>
      </xdr:nvSpPr>
      <xdr:spPr>
        <a:xfrm>
          <a:off x="5059680" y="1295400"/>
          <a:ext cx="2561549" cy="262890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8</xdr:col>
      <xdr:colOff>312420</xdr:colOff>
      <xdr:row>22</xdr:row>
      <xdr:rowOff>129540</xdr:rowOff>
    </xdr:from>
    <xdr:to>
      <xdr:col>12</xdr:col>
      <xdr:colOff>144780</xdr:colOff>
      <xdr:row>35</xdr:row>
      <xdr:rowOff>129540</xdr:rowOff>
    </xdr:to>
    <xdr:sp macro="" textlink="">
      <xdr:nvSpPr>
        <xdr:cNvPr id="10" name="Rectangle: Rounded Corners 9">
          <a:extLst>
            <a:ext uri="{FF2B5EF4-FFF2-40B4-BE49-F238E27FC236}">
              <a16:creationId xmlns:a16="http://schemas.microsoft.com/office/drawing/2014/main" id="{AE0E95DD-4922-45C6-9A77-A9E52883AA6E}"/>
            </a:ext>
          </a:extLst>
        </xdr:cNvPr>
        <xdr:cNvSpPr/>
      </xdr:nvSpPr>
      <xdr:spPr>
        <a:xfrm>
          <a:off x="5189220" y="4152900"/>
          <a:ext cx="2270760" cy="237744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12</xdr:col>
      <xdr:colOff>228600</xdr:colOff>
      <xdr:row>29</xdr:row>
      <xdr:rowOff>76200</xdr:rowOff>
    </xdr:from>
    <xdr:to>
      <xdr:col>14</xdr:col>
      <xdr:colOff>91440</xdr:colOff>
      <xdr:row>35</xdr:row>
      <xdr:rowOff>129540</xdr:rowOff>
    </xdr:to>
    <xdr:sp macro="" textlink="">
      <xdr:nvSpPr>
        <xdr:cNvPr id="11" name="Rectangle: Rounded Corners 10">
          <a:extLst>
            <a:ext uri="{FF2B5EF4-FFF2-40B4-BE49-F238E27FC236}">
              <a16:creationId xmlns:a16="http://schemas.microsoft.com/office/drawing/2014/main" id="{C98343EE-F821-4AB1-9A6A-27A76C4495D6}"/>
            </a:ext>
          </a:extLst>
        </xdr:cNvPr>
        <xdr:cNvSpPr/>
      </xdr:nvSpPr>
      <xdr:spPr>
        <a:xfrm>
          <a:off x="7543800" y="5379720"/>
          <a:ext cx="1082040" cy="115062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14</xdr:col>
      <xdr:colOff>137160</xdr:colOff>
      <xdr:row>29</xdr:row>
      <xdr:rowOff>68580</xdr:rowOff>
    </xdr:from>
    <xdr:to>
      <xdr:col>16</xdr:col>
      <xdr:colOff>0</xdr:colOff>
      <xdr:row>35</xdr:row>
      <xdr:rowOff>129540</xdr:rowOff>
    </xdr:to>
    <xdr:sp macro="" textlink="">
      <xdr:nvSpPr>
        <xdr:cNvPr id="12" name="Rectangle: Rounded Corners 11">
          <a:extLst>
            <a:ext uri="{FF2B5EF4-FFF2-40B4-BE49-F238E27FC236}">
              <a16:creationId xmlns:a16="http://schemas.microsoft.com/office/drawing/2014/main" id="{051DAE52-8599-4DAE-9E50-262D16ACB6FD}"/>
            </a:ext>
          </a:extLst>
        </xdr:cNvPr>
        <xdr:cNvSpPr/>
      </xdr:nvSpPr>
      <xdr:spPr>
        <a:xfrm>
          <a:off x="8671560" y="5372100"/>
          <a:ext cx="1082040" cy="115824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14</xdr:col>
      <xdr:colOff>144780</xdr:colOff>
      <xdr:row>23</xdr:row>
      <xdr:rowOff>0</xdr:rowOff>
    </xdr:from>
    <xdr:to>
      <xdr:col>16</xdr:col>
      <xdr:colOff>7620</xdr:colOff>
      <xdr:row>29</xdr:row>
      <xdr:rowOff>0</xdr:rowOff>
    </xdr:to>
    <xdr:sp macro="" textlink="">
      <xdr:nvSpPr>
        <xdr:cNvPr id="13" name="Rectangle: Rounded Corners 12">
          <a:extLst>
            <a:ext uri="{FF2B5EF4-FFF2-40B4-BE49-F238E27FC236}">
              <a16:creationId xmlns:a16="http://schemas.microsoft.com/office/drawing/2014/main" id="{B5DE6723-E293-44FC-85CB-53D50E22011E}"/>
            </a:ext>
          </a:extLst>
        </xdr:cNvPr>
        <xdr:cNvSpPr/>
      </xdr:nvSpPr>
      <xdr:spPr>
        <a:xfrm>
          <a:off x="8679180" y="4206240"/>
          <a:ext cx="1082040" cy="109728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14</xdr:col>
      <xdr:colOff>198120</xdr:colOff>
      <xdr:row>23</xdr:row>
      <xdr:rowOff>76200</xdr:rowOff>
    </xdr:from>
    <xdr:to>
      <xdr:col>15</xdr:col>
      <xdr:colOff>586740</xdr:colOff>
      <xdr:row>28</xdr:row>
      <xdr:rowOff>106680</xdr:rowOff>
    </xdr:to>
    <xdr:sp macro="" textlink="">
      <xdr:nvSpPr>
        <xdr:cNvPr id="16" name="TextBox 15">
          <a:extLst>
            <a:ext uri="{FF2B5EF4-FFF2-40B4-BE49-F238E27FC236}">
              <a16:creationId xmlns:a16="http://schemas.microsoft.com/office/drawing/2014/main" id="{16ADA7CE-1E11-04BE-3939-7566AB2D206B}"/>
            </a:ext>
          </a:extLst>
        </xdr:cNvPr>
        <xdr:cNvSpPr txBox="1"/>
      </xdr:nvSpPr>
      <xdr:spPr>
        <a:xfrm>
          <a:off x="8732520" y="4282440"/>
          <a:ext cx="998220" cy="94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solidFill>
                <a:schemeClr val="bg1"/>
              </a:solidFill>
              <a:latin typeface="+mn-lt"/>
              <a:ea typeface="+mn-ea"/>
              <a:cs typeface="+mn-cs"/>
            </a:rPr>
            <a:t>Part-time</a:t>
          </a:r>
          <a:r>
            <a:rPr lang="en-US" sz="1400" baseline="0">
              <a:solidFill>
                <a:schemeClr val="bg1"/>
              </a:solidFill>
            </a:rPr>
            <a:t> </a:t>
          </a:r>
          <a:r>
            <a:rPr lang="en-US" sz="1200">
              <a:solidFill>
                <a:schemeClr val="bg1"/>
              </a:solidFill>
              <a:latin typeface="+mn-lt"/>
              <a:ea typeface="+mn-ea"/>
              <a:cs typeface="+mn-cs"/>
            </a:rPr>
            <a:t>Employees</a:t>
          </a:r>
        </a:p>
      </xdr:txBody>
    </xdr:sp>
    <xdr:clientData/>
  </xdr:twoCellAnchor>
  <xdr:twoCellAnchor>
    <xdr:from>
      <xdr:col>14</xdr:col>
      <xdr:colOff>228600</xdr:colOff>
      <xdr:row>26</xdr:row>
      <xdr:rowOff>99060</xdr:rowOff>
    </xdr:from>
    <xdr:to>
      <xdr:col>15</xdr:col>
      <xdr:colOff>518160</xdr:colOff>
      <xdr:row>28</xdr:row>
      <xdr:rowOff>91440</xdr:rowOff>
    </xdr:to>
    <xdr:sp macro="" textlink="Pivot!B5">
      <xdr:nvSpPr>
        <xdr:cNvPr id="17" name="TextBox 16">
          <a:extLst>
            <a:ext uri="{FF2B5EF4-FFF2-40B4-BE49-F238E27FC236}">
              <a16:creationId xmlns:a16="http://schemas.microsoft.com/office/drawing/2014/main" id="{DF5E2E23-5B55-084B-FE06-CAEB94CBD380}"/>
            </a:ext>
          </a:extLst>
        </xdr:cNvPr>
        <xdr:cNvSpPr txBox="1"/>
      </xdr:nvSpPr>
      <xdr:spPr>
        <a:xfrm>
          <a:off x="8763000" y="4853940"/>
          <a:ext cx="8991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3B5AFA-9523-4655-865F-D2FE33F49593}" type="TxLink">
            <a:rPr lang="en-US" sz="1800" b="1" i="0" u="none" strike="noStrike">
              <a:solidFill>
                <a:schemeClr val="bg1"/>
              </a:solidFill>
              <a:latin typeface="Aptos Narrow"/>
            </a:rPr>
            <a:pPr algn="ctr"/>
            <a:t>13</a:t>
          </a:fld>
          <a:endParaRPr lang="en-US" sz="1800" b="1">
            <a:solidFill>
              <a:schemeClr val="bg1"/>
            </a:solidFill>
          </a:endParaRPr>
        </a:p>
      </xdr:txBody>
    </xdr:sp>
    <xdr:clientData/>
  </xdr:twoCellAnchor>
  <xdr:twoCellAnchor>
    <xdr:from>
      <xdr:col>14</xdr:col>
      <xdr:colOff>251460</xdr:colOff>
      <xdr:row>30</xdr:row>
      <xdr:rowOff>15240</xdr:rowOff>
    </xdr:from>
    <xdr:to>
      <xdr:col>16</xdr:col>
      <xdr:colOff>30480</xdr:colOff>
      <xdr:row>35</xdr:row>
      <xdr:rowOff>45720</xdr:rowOff>
    </xdr:to>
    <xdr:sp macro="" textlink="">
      <xdr:nvSpPr>
        <xdr:cNvPr id="18" name="TextBox 17">
          <a:extLst>
            <a:ext uri="{FF2B5EF4-FFF2-40B4-BE49-F238E27FC236}">
              <a16:creationId xmlns:a16="http://schemas.microsoft.com/office/drawing/2014/main" id="{9AD0553C-E920-4254-B45C-4E4E5F888297}"/>
            </a:ext>
          </a:extLst>
        </xdr:cNvPr>
        <xdr:cNvSpPr txBox="1"/>
      </xdr:nvSpPr>
      <xdr:spPr>
        <a:xfrm>
          <a:off x="8785860" y="5501640"/>
          <a:ext cx="998220" cy="94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mn-lt"/>
              <a:ea typeface="+mn-ea"/>
              <a:cs typeface="+mn-cs"/>
            </a:rPr>
            <a:t>Full-time</a:t>
          </a:r>
          <a:r>
            <a:rPr lang="en-US" sz="1400" baseline="0">
              <a:solidFill>
                <a:schemeClr val="bg1"/>
              </a:solidFill>
            </a:rPr>
            <a:t> </a:t>
          </a:r>
          <a:r>
            <a:rPr lang="en-US" sz="1200" baseline="0">
              <a:solidFill>
                <a:schemeClr val="bg1"/>
              </a:solidFill>
              <a:latin typeface="+mn-lt"/>
              <a:ea typeface="+mn-ea"/>
              <a:cs typeface="+mn-cs"/>
            </a:rPr>
            <a:t>Employees</a:t>
          </a:r>
        </a:p>
      </xdr:txBody>
    </xdr:sp>
    <xdr:clientData/>
  </xdr:twoCellAnchor>
  <xdr:twoCellAnchor>
    <xdr:from>
      <xdr:col>14</xdr:col>
      <xdr:colOff>281940</xdr:colOff>
      <xdr:row>33</xdr:row>
      <xdr:rowOff>38100</xdr:rowOff>
    </xdr:from>
    <xdr:to>
      <xdr:col>15</xdr:col>
      <xdr:colOff>571500</xdr:colOff>
      <xdr:row>35</xdr:row>
      <xdr:rowOff>30480</xdr:rowOff>
    </xdr:to>
    <xdr:sp macro="" textlink="Pivot!B4">
      <xdr:nvSpPr>
        <xdr:cNvPr id="19" name="TextBox 18">
          <a:extLst>
            <a:ext uri="{FF2B5EF4-FFF2-40B4-BE49-F238E27FC236}">
              <a16:creationId xmlns:a16="http://schemas.microsoft.com/office/drawing/2014/main" id="{F779E032-630F-42FF-B330-6F07FB4FD36D}"/>
            </a:ext>
          </a:extLst>
        </xdr:cNvPr>
        <xdr:cNvSpPr txBox="1"/>
      </xdr:nvSpPr>
      <xdr:spPr>
        <a:xfrm>
          <a:off x="8816340" y="6073140"/>
          <a:ext cx="8991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F456175-BB62-4E00-A171-6CB8F858E644}" type="TxLink">
            <a:rPr lang="en-US" sz="1800" b="1" i="0" u="none" strike="noStrike">
              <a:solidFill>
                <a:schemeClr val="bg1"/>
              </a:solidFill>
              <a:latin typeface="Aptos Narrow"/>
              <a:ea typeface="+mn-ea"/>
              <a:cs typeface="+mn-cs"/>
            </a:rPr>
            <a:pPr marL="0" indent="0" algn="ctr"/>
            <a:t>20</a:t>
          </a:fld>
          <a:endParaRPr lang="en-US" sz="1800" b="1" i="0" u="none" strike="noStrike">
            <a:solidFill>
              <a:schemeClr val="bg1"/>
            </a:solidFill>
            <a:latin typeface="Aptos Narrow"/>
            <a:ea typeface="+mn-ea"/>
            <a:cs typeface="+mn-cs"/>
          </a:endParaRPr>
        </a:p>
      </xdr:txBody>
    </xdr:sp>
    <xdr:clientData/>
  </xdr:twoCellAnchor>
  <xdr:twoCellAnchor>
    <xdr:from>
      <xdr:col>12</xdr:col>
      <xdr:colOff>327660</xdr:colOff>
      <xdr:row>29</xdr:row>
      <xdr:rowOff>83820</xdr:rowOff>
    </xdr:from>
    <xdr:to>
      <xdr:col>14</xdr:col>
      <xdr:colOff>106680</xdr:colOff>
      <xdr:row>34</xdr:row>
      <xdr:rowOff>114300</xdr:rowOff>
    </xdr:to>
    <xdr:sp macro="" textlink="">
      <xdr:nvSpPr>
        <xdr:cNvPr id="20" name="TextBox 19">
          <a:extLst>
            <a:ext uri="{FF2B5EF4-FFF2-40B4-BE49-F238E27FC236}">
              <a16:creationId xmlns:a16="http://schemas.microsoft.com/office/drawing/2014/main" id="{79E1805B-FD09-4DFA-98A6-9CA664A69CFC}"/>
            </a:ext>
          </a:extLst>
        </xdr:cNvPr>
        <xdr:cNvSpPr txBox="1"/>
      </xdr:nvSpPr>
      <xdr:spPr>
        <a:xfrm>
          <a:off x="7642860" y="5387340"/>
          <a:ext cx="998220" cy="94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rPr>
            <a:t>Employees</a:t>
          </a:r>
          <a:r>
            <a:rPr lang="en-US" sz="1200" baseline="0">
              <a:solidFill>
                <a:schemeClr val="bg1"/>
              </a:solidFill>
            </a:rPr>
            <a:t> with Contracts</a:t>
          </a:r>
          <a:endParaRPr lang="en-US" sz="1200">
            <a:solidFill>
              <a:schemeClr val="bg1"/>
            </a:solidFill>
          </a:endParaRPr>
        </a:p>
      </xdr:txBody>
    </xdr:sp>
    <xdr:clientData/>
  </xdr:twoCellAnchor>
  <xdr:twoCellAnchor>
    <xdr:from>
      <xdr:col>12</xdr:col>
      <xdr:colOff>335280</xdr:colOff>
      <xdr:row>33</xdr:row>
      <xdr:rowOff>45720</xdr:rowOff>
    </xdr:from>
    <xdr:to>
      <xdr:col>14</xdr:col>
      <xdr:colOff>15240</xdr:colOff>
      <xdr:row>35</xdr:row>
      <xdr:rowOff>38100</xdr:rowOff>
    </xdr:to>
    <xdr:sp macro="" textlink="Pivot!B3">
      <xdr:nvSpPr>
        <xdr:cNvPr id="21" name="TextBox 20">
          <a:extLst>
            <a:ext uri="{FF2B5EF4-FFF2-40B4-BE49-F238E27FC236}">
              <a16:creationId xmlns:a16="http://schemas.microsoft.com/office/drawing/2014/main" id="{F7EBC6B4-2408-4F9C-BAB4-BDAD04C614F3}"/>
            </a:ext>
          </a:extLst>
        </xdr:cNvPr>
        <xdr:cNvSpPr txBox="1"/>
      </xdr:nvSpPr>
      <xdr:spPr>
        <a:xfrm>
          <a:off x="7650480" y="6080760"/>
          <a:ext cx="8991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D97572-D390-445A-9AC4-214D2D9D5188}" type="TxLink">
            <a:rPr lang="en-US" sz="1800" b="1" i="0" u="none" strike="noStrike">
              <a:solidFill>
                <a:schemeClr val="bg1"/>
              </a:solidFill>
              <a:latin typeface="Aptos Narrow"/>
              <a:ea typeface="+mn-ea"/>
              <a:cs typeface="+mn-cs"/>
            </a:rPr>
            <a:pPr marL="0" indent="0" algn="ctr"/>
            <a:t>17</a:t>
          </a:fld>
          <a:endParaRPr lang="en-US" sz="1800" b="1" i="0" u="none" strike="noStrike">
            <a:solidFill>
              <a:schemeClr val="bg1"/>
            </a:solidFill>
            <a:latin typeface="Aptos Narrow"/>
            <a:ea typeface="+mn-ea"/>
            <a:cs typeface="+mn-cs"/>
          </a:endParaRPr>
        </a:p>
      </xdr:txBody>
    </xdr:sp>
    <xdr:clientData/>
  </xdr:twoCellAnchor>
  <xdr:twoCellAnchor>
    <xdr:from>
      <xdr:col>8</xdr:col>
      <xdr:colOff>403860</xdr:colOff>
      <xdr:row>27</xdr:row>
      <xdr:rowOff>45720</xdr:rowOff>
    </xdr:from>
    <xdr:to>
      <xdr:col>10</xdr:col>
      <xdr:colOff>137160</xdr:colOff>
      <xdr:row>28</xdr:row>
      <xdr:rowOff>68580</xdr:rowOff>
    </xdr:to>
    <xdr:sp macro="" textlink="">
      <xdr:nvSpPr>
        <xdr:cNvPr id="22" name="TextBox 21">
          <a:extLst>
            <a:ext uri="{FF2B5EF4-FFF2-40B4-BE49-F238E27FC236}">
              <a16:creationId xmlns:a16="http://schemas.microsoft.com/office/drawing/2014/main" id="{37FE348A-294D-4AC8-9F46-48DA76A806A2}"/>
            </a:ext>
          </a:extLst>
        </xdr:cNvPr>
        <xdr:cNvSpPr txBox="1"/>
      </xdr:nvSpPr>
      <xdr:spPr>
        <a:xfrm>
          <a:off x="5280660" y="498348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Total Salaries</a:t>
          </a:r>
          <a:endParaRPr lang="en-US" sz="1100">
            <a:solidFill>
              <a:schemeClr val="bg1"/>
            </a:solidFill>
            <a:latin typeface="+mn-lt"/>
            <a:ea typeface="+mn-ea"/>
            <a:cs typeface="+mn-cs"/>
          </a:endParaRPr>
        </a:p>
      </xdr:txBody>
    </xdr:sp>
    <xdr:clientData/>
  </xdr:twoCellAnchor>
  <xdr:twoCellAnchor>
    <xdr:from>
      <xdr:col>8</xdr:col>
      <xdr:colOff>403860</xdr:colOff>
      <xdr:row>28</xdr:row>
      <xdr:rowOff>77470</xdr:rowOff>
    </xdr:from>
    <xdr:to>
      <xdr:col>10</xdr:col>
      <xdr:colOff>137160</xdr:colOff>
      <xdr:row>29</xdr:row>
      <xdr:rowOff>100330</xdr:rowOff>
    </xdr:to>
    <xdr:sp macro="" textlink="">
      <xdr:nvSpPr>
        <xdr:cNvPr id="23" name="TextBox 22">
          <a:extLst>
            <a:ext uri="{FF2B5EF4-FFF2-40B4-BE49-F238E27FC236}">
              <a16:creationId xmlns:a16="http://schemas.microsoft.com/office/drawing/2014/main" id="{5B03EF82-CA38-455E-9E26-0E5EB269E1BB}"/>
            </a:ext>
          </a:extLst>
        </xdr:cNvPr>
        <xdr:cNvSpPr txBox="1"/>
      </xdr:nvSpPr>
      <xdr:spPr>
        <a:xfrm>
          <a:off x="5280660" y="519811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Analyst</a:t>
          </a:r>
          <a:endParaRPr lang="en-US" sz="1100">
            <a:solidFill>
              <a:schemeClr val="bg1"/>
            </a:solidFill>
            <a:latin typeface="+mn-lt"/>
            <a:ea typeface="+mn-ea"/>
            <a:cs typeface="+mn-cs"/>
          </a:endParaRPr>
        </a:p>
      </xdr:txBody>
    </xdr:sp>
    <xdr:clientData/>
  </xdr:twoCellAnchor>
  <xdr:twoCellAnchor>
    <xdr:from>
      <xdr:col>8</xdr:col>
      <xdr:colOff>403860</xdr:colOff>
      <xdr:row>29</xdr:row>
      <xdr:rowOff>109220</xdr:rowOff>
    </xdr:from>
    <xdr:to>
      <xdr:col>10</xdr:col>
      <xdr:colOff>137160</xdr:colOff>
      <xdr:row>30</xdr:row>
      <xdr:rowOff>132080</xdr:rowOff>
    </xdr:to>
    <xdr:sp macro="" textlink="">
      <xdr:nvSpPr>
        <xdr:cNvPr id="24" name="TextBox 23">
          <a:extLst>
            <a:ext uri="{FF2B5EF4-FFF2-40B4-BE49-F238E27FC236}">
              <a16:creationId xmlns:a16="http://schemas.microsoft.com/office/drawing/2014/main" id="{EF09F260-4858-45DB-A0BA-45E748597960}"/>
            </a:ext>
          </a:extLst>
        </xdr:cNvPr>
        <xdr:cNvSpPr txBox="1"/>
      </xdr:nvSpPr>
      <xdr:spPr>
        <a:xfrm>
          <a:off x="5280660" y="541274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Designer</a:t>
          </a:r>
          <a:endParaRPr lang="en-US" sz="1100">
            <a:solidFill>
              <a:schemeClr val="bg1"/>
            </a:solidFill>
            <a:latin typeface="+mn-lt"/>
            <a:ea typeface="+mn-ea"/>
            <a:cs typeface="+mn-cs"/>
          </a:endParaRPr>
        </a:p>
      </xdr:txBody>
    </xdr:sp>
    <xdr:clientData/>
  </xdr:twoCellAnchor>
  <xdr:twoCellAnchor>
    <xdr:from>
      <xdr:col>8</xdr:col>
      <xdr:colOff>403860</xdr:colOff>
      <xdr:row>30</xdr:row>
      <xdr:rowOff>140970</xdr:rowOff>
    </xdr:from>
    <xdr:to>
      <xdr:col>10</xdr:col>
      <xdr:colOff>137160</xdr:colOff>
      <xdr:row>31</xdr:row>
      <xdr:rowOff>163830</xdr:rowOff>
    </xdr:to>
    <xdr:sp macro="" textlink="">
      <xdr:nvSpPr>
        <xdr:cNvPr id="25" name="TextBox 24">
          <a:extLst>
            <a:ext uri="{FF2B5EF4-FFF2-40B4-BE49-F238E27FC236}">
              <a16:creationId xmlns:a16="http://schemas.microsoft.com/office/drawing/2014/main" id="{DB684485-B3B3-44EC-8F12-8DA5950C1DCC}"/>
            </a:ext>
          </a:extLst>
        </xdr:cNvPr>
        <xdr:cNvSpPr txBox="1"/>
      </xdr:nvSpPr>
      <xdr:spPr>
        <a:xfrm>
          <a:off x="5280660" y="562737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Developer</a:t>
          </a:r>
          <a:endParaRPr lang="en-US" sz="1100">
            <a:solidFill>
              <a:schemeClr val="bg1"/>
            </a:solidFill>
            <a:latin typeface="+mn-lt"/>
            <a:ea typeface="+mn-ea"/>
            <a:cs typeface="+mn-cs"/>
          </a:endParaRPr>
        </a:p>
      </xdr:txBody>
    </xdr:sp>
    <xdr:clientData/>
  </xdr:twoCellAnchor>
  <xdr:twoCellAnchor>
    <xdr:from>
      <xdr:col>8</xdr:col>
      <xdr:colOff>403860</xdr:colOff>
      <xdr:row>31</xdr:row>
      <xdr:rowOff>172720</xdr:rowOff>
    </xdr:from>
    <xdr:to>
      <xdr:col>10</xdr:col>
      <xdr:colOff>137160</xdr:colOff>
      <xdr:row>33</xdr:row>
      <xdr:rowOff>12700</xdr:rowOff>
    </xdr:to>
    <xdr:sp macro="" textlink="">
      <xdr:nvSpPr>
        <xdr:cNvPr id="26" name="TextBox 25">
          <a:extLst>
            <a:ext uri="{FF2B5EF4-FFF2-40B4-BE49-F238E27FC236}">
              <a16:creationId xmlns:a16="http://schemas.microsoft.com/office/drawing/2014/main" id="{F8722104-C332-403D-9CB8-81B28CDEC693}"/>
            </a:ext>
          </a:extLst>
        </xdr:cNvPr>
        <xdr:cNvSpPr txBox="1"/>
      </xdr:nvSpPr>
      <xdr:spPr>
        <a:xfrm>
          <a:off x="5280660" y="584200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HR Specialist</a:t>
          </a:r>
          <a:endParaRPr lang="en-US" sz="1100">
            <a:solidFill>
              <a:schemeClr val="bg1"/>
            </a:solidFill>
            <a:latin typeface="+mn-lt"/>
            <a:ea typeface="+mn-ea"/>
            <a:cs typeface="+mn-cs"/>
          </a:endParaRPr>
        </a:p>
      </xdr:txBody>
    </xdr:sp>
    <xdr:clientData/>
  </xdr:twoCellAnchor>
  <xdr:twoCellAnchor>
    <xdr:from>
      <xdr:col>8</xdr:col>
      <xdr:colOff>403860</xdr:colOff>
      <xdr:row>33</xdr:row>
      <xdr:rowOff>21590</xdr:rowOff>
    </xdr:from>
    <xdr:to>
      <xdr:col>10</xdr:col>
      <xdr:colOff>137160</xdr:colOff>
      <xdr:row>34</xdr:row>
      <xdr:rowOff>44450</xdr:rowOff>
    </xdr:to>
    <xdr:sp macro="" textlink="">
      <xdr:nvSpPr>
        <xdr:cNvPr id="27" name="TextBox 26">
          <a:extLst>
            <a:ext uri="{FF2B5EF4-FFF2-40B4-BE49-F238E27FC236}">
              <a16:creationId xmlns:a16="http://schemas.microsoft.com/office/drawing/2014/main" id="{6BFB61DC-903F-4454-9893-07D990F90174}"/>
            </a:ext>
          </a:extLst>
        </xdr:cNvPr>
        <xdr:cNvSpPr txBox="1"/>
      </xdr:nvSpPr>
      <xdr:spPr>
        <a:xfrm>
          <a:off x="5280660" y="605663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Manager</a:t>
          </a:r>
          <a:endParaRPr lang="en-US" sz="1100">
            <a:solidFill>
              <a:schemeClr val="bg1"/>
            </a:solidFill>
            <a:latin typeface="+mn-lt"/>
            <a:ea typeface="+mn-ea"/>
            <a:cs typeface="+mn-cs"/>
          </a:endParaRPr>
        </a:p>
      </xdr:txBody>
    </xdr:sp>
    <xdr:clientData/>
  </xdr:twoCellAnchor>
  <xdr:twoCellAnchor>
    <xdr:from>
      <xdr:col>10</xdr:col>
      <xdr:colOff>365760</xdr:colOff>
      <xdr:row>27</xdr:row>
      <xdr:rowOff>68580</xdr:rowOff>
    </xdr:from>
    <xdr:to>
      <xdr:col>12</xdr:col>
      <xdr:colOff>45720</xdr:colOff>
      <xdr:row>28</xdr:row>
      <xdr:rowOff>68580</xdr:rowOff>
    </xdr:to>
    <xdr:sp macro="" textlink="Pivot!B15">
      <xdr:nvSpPr>
        <xdr:cNvPr id="29" name="TextBox 28">
          <a:extLst>
            <a:ext uri="{FF2B5EF4-FFF2-40B4-BE49-F238E27FC236}">
              <a16:creationId xmlns:a16="http://schemas.microsoft.com/office/drawing/2014/main" id="{6CC0CE2C-EAC6-4718-A6B7-6C0FEE00AEA5}"/>
            </a:ext>
          </a:extLst>
        </xdr:cNvPr>
        <xdr:cNvSpPr txBox="1"/>
      </xdr:nvSpPr>
      <xdr:spPr>
        <a:xfrm>
          <a:off x="6461760" y="5006340"/>
          <a:ext cx="899160" cy="182880"/>
        </a:xfrm>
        <a:prstGeom prst="rect">
          <a:avLst/>
        </a:prstGeom>
        <a:solidFill>
          <a:schemeClr val="accent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5B6355-F546-49F2-8591-01CB2D333BC1}" type="TxLink">
            <a:rPr lang="en-US" sz="1100" b="0" i="0" u="none" strike="noStrike" baseline="0">
              <a:solidFill>
                <a:schemeClr val="tx1"/>
              </a:solidFill>
              <a:latin typeface="Aptos Narrow"/>
              <a:ea typeface="+mn-ea"/>
              <a:cs typeface="+mn-cs"/>
            </a:rPr>
            <a:pPr algn="ctr"/>
            <a:t>487</a:t>
          </a:fld>
          <a:endParaRPr lang="en-US" sz="1100">
            <a:solidFill>
              <a:schemeClr val="tx1"/>
            </a:solidFill>
            <a:latin typeface="+mn-lt"/>
            <a:ea typeface="+mn-ea"/>
            <a:cs typeface="+mn-cs"/>
          </a:endParaRPr>
        </a:p>
      </xdr:txBody>
    </xdr:sp>
    <xdr:clientData/>
  </xdr:twoCellAnchor>
  <xdr:twoCellAnchor>
    <xdr:from>
      <xdr:col>10</xdr:col>
      <xdr:colOff>365760</xdr:colOff>
      <xdr:row>28</xdr:row>
      <xdr:rowOff>77470</xdr:rowOff>
    </xdr:from>
    <xdr:to>
      <xdr:col>12</xdr:col>
      <xdr:colOff>99060</xdr:colOff>
      <xdr:row>29</xdr:row>
      <xdr:rowOff>100330</xdr:rowOff>
    </xdr:to>
    <xdr:sp macro="" textlink="Pivot!B10">
      <xdr:nvSpPr>
        <xdr:cNvPr id="30" name="TextBox 29">
          <a:extLst>
            <a:ext uri="{FF2B5EF4-FFF2-40B4-BE49-F238E27FC236}">
              <a16:creationId xmlns:a16="http://schemas.microsoft.com/office/drawing/2014/main" id="{F13C9B51-51F3-4435-B4CE-973A0D4EDCA1}"/>
            </a:ext>
          </a:extLst>
        </xdr:cNvPr>
        <xdr:cNvSpPr txBox="1"/>
      </xdr:nvSpPr>
      <xdr:spPr>
        <a:xfrm>
          <a:off x="6461760" y="5198110"/>
          <a:ext cx="952500" cy="20574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97F4D6-CAD3-4B2A-979F-18810C2D797A}" type="TxLink">
            <a:rPr lang="en-US" sz="1100" b="0" i="0" u="none" strike="noStrike" baseline="0">
              <a:solidFill>
                <a:schemeClr val="bg1"/>
              </a:solidFill>
              <a:latin typeface="Aptos Narrow"/>
              <a:ea typeface="+mn-ea"/>
              <a:cs typeface="+mn-cs"/>
            </a:rPr>
            <a:pPr algn="ctr"/>
            <a:t>28</a:t>
          </a:fld>
          <a:endParaRPr lang="en-US" sz="1100">
            <a:solidFill>
              <a:schemeClr val="bg1"/>
            </a:solidFill>
            <a:latin typeface="+mn-lt"/>
            <a:ea typeface="+mn-ea"/>
            <a:cs typeface="+mn-cs"/>
          </a:endParaRPr>
        </a:p>
      </xdr:txBody>
    </xdr:sp>
    <xdr:clientData/>
  </xdr:twoCellAnchor>
  <xdr:twoCellAnchor>
    <xdr:from>
      <xdr:col>10</xdr:col>
      <xdr:colOff>365760</xdr:colOff>
      <xdr:row>29</xdr:row>
      <xdr:rowOff>109220</xdr:rowOff>
    </xdr:from>
    <xdr:to>
      <xdr:col>12</xdr:col>
      <xdr:colOff>99060</xdr:colOff>
      <xdr:row>30</xdr:row>
      <xdr:rowOff>132080</xdr:rowOff>
    </xdr:to>
    <xdr:sp macro="" textlink="Pivot!B11">
      <xdr:nvSpPr>
        <xdr:cNvPr id="31" name="TextBox 30">
          <a:extLst>
            <a:ext uri="{FF2B5EF4-FFF2-40B4-BE49-F238E27FC236}">
              <a16:creationId xmlns:a16="http://schemas.microsoft.com/office/drawing/2014/main" id="{14F8A723-7CDA-4F17-B082-FC382CE6F4F1}"/>
            </a:ext>
          </a:extLst>
        </xdr:cNvPr>
        <xdr:cNvSpPr txBox="1"/>
      </xdr:nvSpPr>
      <xdr:spPr>
        <a:xfrm>
          <a:off x="6461760" y="5412740"/>
          <a:ext cx="952500" cy="20574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D9FC9B-DF83-48E1-8C3C-EAA75B5B1E57}" type="TxLink">
            <a:rPr lang="en-US" sz="1100" b="0" i="0" u="none" strike="noStrike" baseline="0">
              <a:solidFill>
                <a:schemeClr val="bg1"/>
              </a:solidFill>
              <a:latin typeface="Aptos Narrow"/>
              <a:ea typeface="+mn-ea"/>
              <a:cs typeface="+mn-cs"/>
            </a:rPr>
            <a:pPr algn="ctr"/>
            <a:t>110</a:t>
          </a:fld>
          <a:endParaRPr lang="en-US" sz="1100">
            <a:solidFill>
              <a:schemeClr val="bg1"/>
            </a:solidFill>
            <a:latin typeface="+mn-lt"/>
            <a:ea typeface="+mn-ea"/>
            <a:cs typeface="+mn-cs"/>
          </a:endParaRPr>
        </a:p>
      </xdr:txBody>
    </xdr:sp>
    <xdr:clientData/>
  </xdr:twoCellAnchor>
  <xdr:twoCellAnchor>
    <xdr:from>
      <xdr:col>10</xdr:col>
      <xdr:colOff>365760</xdr:colOff>
      <xdr:row>30</xdr:row>
      <xdr:rowOff>140970</xdr:rowOff>
    </xdr:from>
    <xdr:to>
      <xdr:col>12</xdr:col>
      <xdr:colOff>99060</xdr:colOff>
      <xdr:row>31</xdr:row>
      <xdr:rowOff>163830</xdr:rowOff>
    </xdr:to>
    <xdr:sp macro="" textlink="Pivot!B12">
      <xdr:nvSpPr>
        <xdr:cNvPr id="32" name="TextBox 31">
          <a:extLst>
            <a:ext uri="{FF2B5EF4-FFF2-40B4-BE49-F238E27FC236}">
              <a16:creationId xmlns:a16="http://schemas.microsoft.com/office/drawing/2014/main" id="{65219646-ED17-464C-B837-43EB050E0D70}"/>
            </a:ext>
          </a:extLst>
        </xdr:cNvPr>
        <xdr:cNvSpPr txBox="1"/>
      </xdr:nvSpPr>
      <xdr:spPr>
        <a:xfrm>
          <a:off x="6461760" y="5627370"/>
          <a:ext cx="952500" cy="20574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F42313-1874-4BE5-98AB-9259C5D86EDE}" type="TxLink">
            <a:rPr lang="en-US" sz="1100" b="0" i="0" u="none" strike="noStrike" baseline="0">
              <a:solidFill>
                <a:schemeClr val="bg1"/>
              </a:solidFill>
              <a:latin typeface="Aptos Narrow"/>
              <a:ea typeface="+mn-ea"/>
              <a:cs typeface="+mn-cs"/>
            </a:rPr>
            <a:pPr algn="ctr"/>
            <a:t>104</a:t>
          </a:fld>
          <a:endParaRPr lang="en-US" sz="1100">
            <a:solidFill>
              <a:schemeClr val="bg1"/>
            </a:solidFill>
            <a:latin typeface="+mn-lt"/>
            <a:ea typeface="+mn-ea"/>
            <a:cs typeface="+mn-cs"/>
          </a:endParaRPr>
        </a:p>
      </xdr:txBody>
    </xdr:sp>
    <xdr:clientData/>
  </xdr:twoCellAnchor>
  <xdr:twoCellAnchor>
    <xdr:from>
      <xdr:col>10</xdr:col>
      <xdr:colOff>365760</xdr:colOff>
      <xdr:row>31</xdr:row>
      <xdr:rowOff>172720</xdr:rowOff>
    </xdr:from>
    <xdr:to>
      <xdr:col>12</xdr:col>
      <xdr:colOff>99060</xdr:colOff>
      <xdr:row>33</xdr:row>
      <xdr:rowOff>12700</xdr:rowOff>
    </xdr:to>
    <xdr:sp macro="" textlink="Pivot!B13">
      <xdr:nvSpPr>
        <xdr:cNvPr id="33" name="TextBox 32">
          <a:extLst>
            <a:ext uri="{FF2B5EF4-FFF2-40B4-BE49-F238E27FC236}">
              <a16:creationId xmlns:a16="http://schemas.microsoft.com/office/drawing/2014/main" id="{1D4DC82A-BBC5-4310-ADC7-865E2ED3E9EF}"/>
            </a:ext>
          </a:extLst>
        </xdr:cNvPr>
        <xdr:cNvSpPr txBox="1"/>
      </xdr:nvSpPr>
      <xdr:spPr>
        <a:xfrm>
          <a:off x="6461760" y="5842000"/>
          <a:ext cx="952500" cy="20574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45F6F3-0BE8-4D88-924B-1C0FA242F6FF}" type="TxLink">
            <a:rPr lang="en-US" sz="1100" b="0" i="0" u="none" strike="noStrike" baseline="0">
              <a:solidFill>
                <a:schemeClr val="bg1"/>
              </a:solidFill>
              <a:latin typeface="Aptos Narrow"/>
              <a:ea typeface="+mn-ea"/>
              <a:cs typeface="+mn-cs"/>
            </a:rPr>
            <a:pPr algn="ctr"/>
            <a:t>123</a:t>
          </a:fld>
          <a:endParaRPr lang="en-US" sz="1100">
            <a:solidFill>
              <a:schemeClr val="bg1"/>
            </a:solidFill>
            <a:latin typeface="+mn-lt"/>
            <a:ea typeface="+mn-ea"/>
            <a:cs typeface="+mn-cs"/>
          </a:endParaRPr>
        </a:p>
      </xdr:txBody>
    </xdr:sp>
    <xdr:clientData/>
  </xdr:twoCellAnchor>
  <xdr:twoCellAnchor>
    <xdr:from>
      <xdr:col>10</xdr:col>
      <xdr:colOff>365760</xdr:colOff>
      <xdr:row>33</xdr:row>
      <xdr:rowOff>21590</xdr:rowOff>
    </xdr:from>
    <xdr:to>
      <xdr:col>12</xdr:col>
      <xdr:colOff>99060</xdr:colOff>
      <xdr:row>34</xdr:row>
      <xdr:rowOff>44450</xdr:rowOff>
    </xdr:to>
    <xdr:sp macro="" textlink="Pivot!B14">
      <xdr:nvSpPr>
        <xdr:cNvPr id="34" name="TextBox 33">
          <a:extLst>
            <a:ext uri="{FF2B5EF4-FFF2-40B4-BE49-F238E27FC236}">
              <a16:creationId xmlns:a16="http://schemas.microsoft.com/office/drawing/2014/main" id="{CAE9D159-0A93-41A8-BA26-3A2B3783E10F}"/>
            </a:ext>
          </a:extLst>
        </xdr:cNvPr>
        <xdr:cNvSpPr txBox="1"/>
      </xdr:nvSpPr>
      <xdr:spPr>
        <a:xfrm>
          <a:off x="6461760" y="6056630"/>
          <a:ext cx="952500" cy="205740"/>
        </a:xfrm>
        <a:prstGeom prst="rect">
          <a:avLst/>
        </a:prstGeom>
        <a:solidFill>
          <a:schemeClr val="tx1">
            <a:lumMod val="85000"/>
            <a:lumOff val="1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1FD-1595-4685-8B3B-A34DCE4AD8B6}" type="TxLink">
            <a:rPr lang="en-US" sz="1100" b="0" i="0" u="none" strike="noStrike" baseline="0">
              <a:solidFill>
                <a:schemeClr val="bg1"/>
              </a:solidFill>
              <a:latin typeface="Aptos Narrow"/>
              <a:ea typeface="+mn-ea"/>
              <a:cs typeface="+mn-cs"/>
            </a:rPr>
            <a:pPr algn="ctr"/>
            <a:t>122</a:t>
          </a:fld>
          <a:endParaRPr lang="en-US" sz="1100">
            <a:solidFill>
              <a:schemeClr val="bg1"/>
            </a:solidFill>
            <a:latin typeface="+mn-lt"/>
            <a:ea typeface="+mn-ea"/>
            <a:cs typeface="+mn-cs"/>
          </a:endParaRPr>
        </a:p>
      </xdr:txBody>
    </xdr:sp>
    <xdr:clientData/>
  </xdr:twoCellAnchor>
  <xdr:twoCellAnchor>
    <xdr:from>
      <xdr:col>8</xdr:col>
      <xdr:colOff>350520</xdr:colOff>
      <xdr:row>23</xdr:row>
      <xdr:rowOff>7620</xdr:rowOff>
    </xdr:from>
    <xdr:to>
      <xdr:col>10</xdr:col>
      <xdr:colOff>83820</xdr:colOff>
      <xdr:row>24</xdr:row>
      <xdr:rowOff>30480</xdr:rowOff>
    </xdr:to>
    <xdr:sp macro="" textlink="">
      <xdr:nvSpPr>
        <xdr:cNvPr id="36" name="TextBox 35">
          <a:extLst>
            <a:ext uri="{FF2B5EF4-FFF2-40B4-BE49-F238E27FC236}">
              <a16:creationId xmlns:a16="http://schemas.microsoft.com/office/drawing/2014/main" id="{09A57F21-61AA-40A8-8822-13EFA57D5EDB}"/>
            </a:ext>
          </a:extLst>
        </xdr:cNvPr>
        <xdr:cNvSpPr txBox="1"/>
      </xdr:nvSpPr>
      <xdr:spPr>
        <a:xfrm>
          <a:off x="5227320" y="421386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accent2"/>
              </a:solidFill>
              <a:latin typeface="+mn-lt"/>
              <a:ea typeface="+mn-ea"/>
              <a:cs typeface="+mn-cs"/>
            </a:rPr>
            <a:t>Salaries</a:t>
          </a:r>
          <a:endParaRPr lang="en-US" sz="1100">
            <a:solidFill>
              <a:schemeClr val="accent2"/>
            </a:solidFill>
            <a:latin typeface="+mn-lt"/>
            <a:ea typeface="+mn-ea"/>
            <a:cs typeface="+mn-cs"/>
          </a:endParaRPr>
        </a:p>
      </xdr:txBody>
    </xdr:sp>
    <xdr:clientData/>
  </xdr:twoCellAnchor>
  <xdr:twoCellAnchor>
    <xdr:from>
      <xdr:col>8</xdr:col>
      <xdr:colOff>358140</xdr:colOff>
      <xdr:row>24</xdr:row>
      <xdr:rowOff>22860</xdr:rowOff>
    </xdr:from>
    <xdr:to>
      <xdr:col>11</xdr:col>
      <xdr:colOff>525780</xdr:colOff>
      <xdr:row>25</xdr:row>
      <xdr:rowOff>53340</xdr:rowOff>
    </xdr:to>
    <xdr:sp macro="" textlink="">
      <xdr:nvSpPr>
        <xdr:cNvPr id="37" name="TextBox 36">
          <a:extLst>
            <a:ext uri="{FF2B5EF4-FFF2-40B4-BE49-F238E27FC236}">
              <a16:creationId xmlns:a16="http://schemas.microsoft.com/office/drawing/2014/main" id="{BF118FBC-BC67-472B-AEC6-46449263330F}"/>
            </a:ext>
          </a:extLst>
        </xdr:cNvPr>
        <xdr:cNvSpPr txBox="1"/>
      </xdr:nvSpPr>
      <xdr:spPr>
        <a:xfrm>
          <a:off x="5234940" y="4411980"/>
          <a:ext cx="19964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tx1">
                  <a:lumMod val="50000"/>
                  <a:lumOff val="50000"/>
                </a:schemeClr>
              </a:solidFill>
              <a:latin typeface="+mn-lt"/>
              <a:ea typeface="+mn-ea"/>
              <a:cs typeface="+mn-cs"/>
            </a:rPr>
            <a:t>Salary amount by Job Titles</a:t>
          </a:r>
          <a:endParaRPr lang="en-US" sz="1100">
            <a:solidFill>
              <a:schemeClr val="tx1">
                <a:lumMod val="50000"/>
                <a:lumOff val="50000"/>
              </a:schemeClr>
            </a:solidFill>
            <a:latin typeface="+mn-lt"/>
            <a:ea typeface="+mn-ea"/>
            <a:cs typeface="+mn-cs"/>
          </a:endParaRPr>
        </a:p>
      </xdr:txBody>
    </xdr:sp>
    <xdr:clientData/>
  </xdr:twoCellAnchor>
  <xdr:twoCellAnchor>
    <xdr:from>
      <xdr:col>12</xdr:col>
      <xdr:colOff>175260</xdr:colOff>
      <xdr:row>21</xdr:row>
      <xdr:rowOff>60960</xdr:rowOff>
    </xdr:from>
    <xdr:to>
      <xdr:col>16</xdr:col>
      <xdr:colOff>167640</xdr:colOff>
      <xdr:row>22</xdr:row>
      <xdr:rowOff>144780</xdr:rowOff>
    </xdr:to>
    <xdr:sp macro="" textlink="">
      <xdr:nvSpPr>
        <xdr:cNvPr id="38" name="TextBox 37">
          <a:extLst>
            <a:ext uri="{FF2B5EF4-FFF2-40B4-BE49-F238E27FC236}">
              <a16:creationId xmlns:a16="http://schemas.microsoft.com/office/drawing/2014/main" id="{E271C63F-2966-412B-B41D-9E6A5F2AB8EB}"/>
            </a:ext>
          </a:extLst>
        </xdr:cNvPr>
        <xdr:cNvSpPr txBox="1"/>
      </xdr:nvSpPr>
      <xdr:spPr>
        <a:xfrm>
          <a:off x="7490460" y="3901440"/>
          <a:ext cx="243078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aseline="0">
              <a:solidFill>
                <a:schemeClr val="accent2"/>
              </a:solidFill>
              <a:latin typeface="+mn-lt"/>
              <a:ea typeface="+mn-ea"/>
              <a:cs typeface="+mn-cs"/>
            </a:rPr>
            <a:t>Employment Status Breakdown</a:t>
          </a:r>
          <a:endParaRPr lang="en-US" sz="1200">
            <a:solidFill>
              <a:schemeClr val="accent2"/>
            </a:solidFill>
            <a:latin typeface="+mn-lt"/>
            <a:ea typeface="+mn-ea"/>
            <a:cs typeface="+mn-cs"/>
          </a:endParaRPr>
        </a:p>
      </xdr:txBody>
    </xdr:sp>
    <xdr:clientData/>
  </xdr:twoCellAnchor>
  <xdr:twoCellAnchor>
    <xdr:from>
      <xdr:col>15</xdr:col>
      <xdr:colOff>396240</xdr:colOff>
      <xdr:row>24</xdr:row>
      <xdr:rowOff>0</xdr:rowOff>
    </xdr:from>
    <xdr:to>
      <xdr:col>15</xdr:col>
      <xdr:colOff>533400</xdr:colOff>
      <xdr:row>24</xdr:row>
      <xdr:rowOff>137160</xdr:rowOff>
    </xdr:to>
    <xdr:sp macro="" textlink="">
      <xdr:nvSpPr>
        <xdr:cNvPr id="40" name="Oval 39">
          <a:extLst>
            <a:ext uri="{FF2B5EF4-FFF2-40B4-BE49-F238E27FC236}">
              <a16:creationId xmlns:a16="http://schemas.microsoft.com/office/drawing/2014/main" id="{B320F9A3-E8F5-A0D4-7812-14E0DD3B7BCF}"/>
            </a:ext>
          </a:extLst>
        </xdr:cNvPr>
        <xdr:cNvSpPr/>
      </xdr:nvSpPr>
      <xdr:spPr>
        <a:xfrm>
          <a:off x="9540240" y="4389120"/>
          <a:ext cx="137160" cy="137160"/>
        </a:xfrm>
        <a:prstGeom prst="ellipse">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525780</xdr:colOff>
      <xdr:row>29</xdr:row>
      <xdr:rowOff>175260</xdr:rowOff>
    </xdr:from>
    <xdr:to>
      <xdr:col>14</xdr:col>
      <xdr:colOff>53340</xdr:colOff>
      <xdr:row>30</xdr:row>
      <xdr:rowOff>129540</xdr:rowOff>
    </xdr:to>
    <xdr:sp macro="" textlink="">
      <xdr:nvSpPr>
        <xdr:cNvPr id="41" name="Oval 40">
          <a:extLst>
            <a:ext uri="{FF2B5EF4-FFF2-40B4-BE49-F238E27FC236}">
              <a16:creationId xmlns:a16="http://schemas.microsoft.com/office/drawing/2014/main" id="{EF76B48E-A9AE-4FEF-AF4B-5E86179F6ADA}"/>
            </a:ext>
          </a:extLst>
        </xdr:cNvPr>
        <xdr:cNvSpPr/>
      </xdr:nvSpPr>
      <xdr:spPr>
        <a:xfrm>
          <a:off x="8450580" y="5478780"/>
          <a:ext cx="137160" cy="137160"/>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411480</xdr:colOff>
      <xdr:row>30</xdr:row>
      <xdr:rowOff>7620</xdr:rowOff>
    </xdr:from>
    <xdr:to>
      <xdr:col>15</xdr:col>
      <xdr:colOff>548640</xdr:colOff>
      <xdr:row>30</xdr:row>
      <xdr:rowOff>144780</xdr:rowOff>
    </xdr:to>
    <xdr:sp macro="" textlink="">
      <xdr:nvSpPr>
        <xdr:cNvPr id="42" name="Oval 41">
          <a:extLst>
            <a:ext uri="{FF2B5EF4-FFF2-40B4-BE49-F238E27FC236}">
              <a16:creationId xmlns:a16="http://schemas.microsoft.com/office/drawing/2014/main" id="{4C389F02-4579-48EF-B1CB-B17D4B9DF785}"/>
            </a:ext>
          </a:extLst>
        </xdr:cNvPr>
        <xdr:cNvSpPr/>
      </xdr:nvSpPr>
      <xdr:spPr>
        <a:xfrm>
          <a:off x="9555480" y="5494020"/>
          <a:ext cx="137160" cy="137160"/>
        </a:xfrm>
        <a:prstGeom prst="ellipse">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144780</xdr:colOff>
      <xdr:row>22</xdr:row>
      <xdr:rowOff>167640</xdr:rowOff>
    </xdr:from>
    <xdr:to>
      <xdr:col>14</xdr:col>
      <xdr:colOff>152400</xdr:colOff>
      <xdr:row>29</xdr:row>
      <xdr:rowOff>22860</xdr:rowOff>
    </xdr:to>
    <xdr:graphicFrame macro="">
      <xdr:nvGraphicFramePr>
        <xdr:cNvPr id="43" name="Chart 42">
          <a:extLst>
            <a:ext uri="{FF2B5EF4-FFF2-40B4-BE49-F238E27FC236}">
              <a16:creationId xmlns:a16="http://schemas.microsoft.com/office/drawing/2014/main" id="{77095353-A3E7-4E23-8328-F70777C212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167640</xdr:colOff>
      <xdr:row>25</xdr:row>
      <xdr:rowOff>99060</xdr:rowOff>
    </xdr:from>
    <xdr:to>
      <xdr:col>8</xdr:col>
      <xdr:colOff>38100</xdr:colOff>
      <xdr:row>35</xdr:row>
      <xdr:rowOff>45720</xdr:rowOff>
    </xdr:to>
    <xdr:graphicFrame macro="">
      <xdr:nvGraphicFramePr>
        <xdr:cNvPr id="44" name="Chart 43">
          <a:extLst>
            <a:ext uri="{FF2B5EF4-FFF2-40B4-BE49-F238E27FC236}">
              <a16:creationId xmlns:a16="http://schemas.microsoft.com/office/drawing/2014/main" id="{66A8BADD-525E-4569-90BD-5248D645D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205740</xdr:colOff>
      <xdr:row>23</xdr:row>
      <xdr:rowOff>22860</xdr:rowOff>
    </xdr:from>
    <xdr:to>
      <xdr:col>5</xdr:col>
      <xdr:colOff>548640</xdr:colOff>
      <xdr:row>24</xdr:row>
      <xdr:rowOff>45720</xdr:rowOff>
    </xdr:to>
    <xdr:sp macro="" textlink="">
      <xdr:nvSpPr>
        <xdr:cNvPr id="45" name="TextBox 44">
          <a:extLst>
            <a:ext uri="{FF2B5EF4-FFF2-40B4-BE49-F238E27FC236}">
              <a16:creationId xmlns:a16="http://schemas.microsoft.com/office/drawing/2014/main" id="{2A9B0788-7D71-4733-B0B8-F30F4EB38EAE}"/>
            </a:ext>
          </a:extLst>
        </xdr:cNvPr>
        <xdr:cNvSpPr txBox="1"/>
      </xdr:nvSpPr>
      <xdr:spPr>
        <a:xfrm>
          <a:off x="2644140" y="422910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accent2"/>
              </a:solidFill>
              <a:latin typeface="+mn-lt"/>
              <a:ea typeface="+mn-ea"/>
              <a:cs typeface="+mn-cs"/>
            </a:rPr>
            <a:t>Age Range</a:t>
          </a:r>
          <a:endParaRPr lang="en-US" sz="1100">
            <a:solidFill>
              <a:schemeClr val="accent2"/>
            </a:solidFill>
            <a:latin typeface="+mn-lt"/>
            <a:ea typeface="+mn-ea"/>
            <a:cs typeface="+mn-cs"/>
          </a:endParaRPr>
        </a:p>
      </xdr:txBody>
    </xdr:sp>
    <xdr:clientData/>
  </xdr:twoCellAnchor>
  <xdr:twoCellAnchor>
    <xdr:from>
      <xdr:col>4</xdr:col>
      <xdr:colOff>198120</xdr:colOff>
      <xdr:row>24</xdr:row>
      <xdr:rowOff>15240</xdr:rowOff>
    </xdr:from>
    <xdr:to>
      <xdr:col>7</xdr:col>
      <xdr:colOff>502920</xdr:colOff>
      <xdr:row>26</xdr:row>
      <xdr:rowOff>53340</xdr:rowOff>
    </xdr:to>
    <xdr:sp macro="" textlink="">
      <xdr:nvSpPr>
        <xdr:cNvPr id="46" name="TextBox 45">
          <a:extLst>
            <a:ext uri="{FF2B5EF4-FFF2-40B4-BE49-F238E27FC236}">
              <a16:creationId xmlns:a16="http://schemas.microsoft.com/office/drawing/2014/main" id="{E48E4A35-0570-48EC-AC41-0CB5ED7F0EE8}"/>
            </a:ext>
          </a:extLst>
        </xdr:cNvPr>
        <xdr:cNvSpPr txBox="1"/>
      </xdr:nvSpPr>
      <xdr:spPr>
        <a:xfrm>
          <a:off x="2636520" y="4404360"/>
          <a:ext cx="213360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baseline="0">
              <a:solidFill>
                <a:schemeClr val="tx1">
                  <a:lumMod val="50000"/>
                  <a:lumOff val="50000"/>
                </a:schemeClr>
              </a:solidFill>
              <a:latin typeface="+mn-lt"/>
              <a:ea typeface="+mn-ea"/>
              <a:cs typeface="+mn-cs"/>
            </a:rPr>
            <a:t>No. of Employees according to age ranges and genders</a:t>
          </a:r>
          <a:endParaRPr lang="en-US" sz="1000">
            <a:solidFill>
              <a:schemeClr val="tx1">
                <a:lumMod val="50000"/>
                <a:lumOff val="50000"/>
              </a:schemeClr>
            </a:solidFill>
            <a:latin typeface="+mn-lt"/>
            <a:ea typeface="+mn-ea"/>
            <a:cs typeface="+mn-cs"/>
          </a:endParaRPr>
        </a:p>
      </xdr:txBody>
    </xdr:sp>
    <xdr:clientData/>
  </xdr:twoCellAnchor>
  <xdr:twoCellAnchor>
    <xdr:from>
      <xdr:col>7</xdr:col>
      <xdr:colOff>304800</xdr:colOff>
      <xdr:row>25</xdr:row>
      <xdr:rowOff>76200</xdr:rowOff>
    </xdr:from>
    <xdr:to>
      <xdr:col>8</xdr:col>
      <xdr:colOff>152400</xdr:colOff>
      <xdr:row>26</xdr:row>
      <xdr:rowOff>53340</xdr:rowOff>
    </xdr:to>
    <xdr:sp macro="" textlink="">
      <xdr:nvSpPr>
        <xdr:cNvPr id="47" name="TextBox 46">
          <a:extLst>
            <a:ext uri="{FF2B5EF4-FFF2-40B4-BE49-F238E27FC236}">
              <a16:creationId xmlns:a16="http://schemas.microsoft.com/office/drawing/2014/main" id="{F60239E5-CF9B-40E7-B216-4E67A9D0568C}"/>
            </a:ext>
          </a:extLst>
        </xdr:cNvPr>
        <xdr:cNvSpPr txBox="1"/>
      </xdr:nvSpPr>
      <xdr:spPr>
        <a:xfrm>
          <a:off x="4572000" y="4648200"/>
          <a:ext cx="457200" cy="160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800" baseline="0">
              <a:solidFill>
                <a:schemeClr val="bg1"/>
              </a:solidFill>
              <a:latin typeface="+mn-lt"/>
              <a:ea typeface="+mn-ea"/>
              <a:cs typeface="+mn-cs"/>
            </a:rPr>
            <a:t>Males</a:t>
          </a:r>
          <a:endParaRPr lang="en-US" sz="800">
            <a:solidFill>
              <a:schemeClr val="bg1"/>
            </a:solidFill>
            <a:latin typeface="+mn-lt"/>
            <a:ea typeface="+mn-ea"/>
            <a:cs typeface="+mn-cs"/>
          </a:endParaRPr>
        </a:p>
      </xdr:txBody>
    </xdr:sp>
    <xdr:clientData/>
  </xdr:twoCellAnchor>
  <xdr:twoCellAnchor>
    <xdr:from>
      <xdr:col>6</xdr:col>
      <xdr:colOff>403860</xdr:colOff>
      <xdr:row>25</xdr:row>
      <xdr:rowOff>76200</xdr:rowOff>
    </xdr:from>
    <xdr:to>
      <xdr:col>7</xdr:col>
      <xdr:colOff>327660</xdr:colOff>
      <xdr:row>26</xdr:row>
      <xdr:rowOff>22860</xdr:rowOff>
    </xdr:to>
    <xdr:sp macro="" textlink="">
      <xdr:nvSpPr>
        <xdr:cNvPr id="48" name="TextBox 47">
          <a:extLst>
            <a:ext uri="{FF2B5EF4-FFF2-40B4-BE49-F238E27FC236}">
              <a16:creationId xmlns:a16="http://schemas.microsoft.com/office/drawing/2014/main" id="{017DD982-BCD5-4D11-8048-0720662B171E}"/>
            </a:ext>
          </a:extLst>
        </xdr:cNvPr>
        <xdr:cNvSpPr txBox="1"/>
      </xdr:nvSpPr>
      <xdr:spPr>
        <a:xfrm>
          <a:off x="4061460" y="4648200"/>
          <a:ext cx="533400" cy="129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800" baseline="0">
              <a:solidFill>
                <a:schemeClr val="bg1"/>
              </a:solidFill>
              <a:latin typeface="+mn-lt"/>
              <a:ea typeface="+mn-ea"/>
              <a:cs typeface="+mn-cs"/>
            </a:rPr>
            <a:t>Females</a:t>
          </a:r>
          <a:endParaRPr lang="en-US" sz="800">
            <a:solidFill>
              <a:schemeClr val="bg1"/>
            </a:solidFill>
            <a:latin typeface="+mn-lt"/>
            <a:ea typeface="+mn-ea"/>
            <a:cs typeface="+mn-cs"/>
          </a:endParaRPr>
        </a:p>
      </xdr:txBody>
    </xdr:sp>
    <xdr:clientData/>
  </xdr:twoCellAnchor>
  <xdr:twoCellAnchor>
    <xdr:from>
      <xdr:col>6</xdr:col>
      <xdr:colOff>373380</xdr:colOff>
      <xdr:row>25</xdr:row>
      <xdr:rowOff>99060</xdr:rowOff>
    </xdr:from>
    <xdr:to>
      <xdr:col>6</xdr:col>
      <xdr:colOff>457200</xdr:colOff>
      <xdr:row>26</xdr:row>
      <xdr:rowOff>7620</xdr:rowOff>
    </xdr:to>
    <xdr:sp macro="" textlink="">
      <xdr:nvSpPr>
        <xdr:cNvPr id="49" name="Oval 48">
          <a:extLst>
            <a:ext uri="{FF2B5EF4-FFF2-40B4-BE49-F238E27FC236}">
              <a16:creationId xmlns:a16="http://schemas.microsoft.com/office/drawing/2014/main" id="{F65CEBC8-6201-41FA-A0F6-570D72A4DC34}"/>
            </a:ext>
          </a:extLst>
        </xdr:cNvPr>
        <xdr:cNvSpPr/>
      </xdr:nvSpPr>
      <xdr:spPr>
        <a:xfrm>
          <a:off x="4030980" y="4671060"/>
          <a:ext cx="83820" cy="91440"/>
        </a:xfrm>
        <a:prstGeom prst="ellipse">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281940</xdr:colOff>
      <xdr:row>25</xdr:row>
      <xdr:rowOff>99060</xdr:rowOff>
    </xdr:from>
    <xdr:to>
      <xdr:col>7</xdr:col>
      <xdr:colOff>365760</xdr:colOff>
      <xdr:row>26</xdr:row>
      <xdr:rowOff>7620</xdr:rowOff>
    </xdr:to>
    <xdr:sp macro="" textlink="">
      <xdr:nvSpPr>
        <xdr:cNvPr id="50" name="Oval 49">
          <a:extLst>
            <a:ext uri="{FF2B5EF4-FFF2-40B4-BE49-F238E27FC236}">
              <a16:creationId xmlns:a16="http://schemas.microsoft.com/office/drawing/2014/main" id="{132F1867-81D5-415D-A7E9-9FCCFC81A242}"/>
            </a:ext>
          </a:extLst>
        </xdr:cNvPr>
        <xdr:cNvSpPr/>
      </xdr:nvSpPr>
      <xdr:spPr>
        <a:xfrm>
          <a:off x="4549140" y="4671060"/>
          <a:ext cx="83820" cy="91440"/>
        </a:xfrm>
        <a:prstGeom prst="ellipse">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403860</xdr:colOff>
      <xdr:row>27</xdr:row>
      <xdr:rowOff>68580</xdr:rowOff>
    </xdr:from>
    <xdr:to>
      <xdr:col>4</xdr:col>
      <xdr:colOff>243840</xdr:colOff>
      <xdr:row>30</xdr:row>
      <xdr:rowOff>144780</xdr:rowOff>
    </xdr:to>
    <xdr:graphicFrame macro="">
      <xdr:nvGraphicFramePr>
        <xdr:cNvPr id="51" name="Chart 50">
          <a:extLst>
            <a:ext uri="{FF2B5EF4-FFF2-40B4-BE49-F238E27FC236}">
              <a16:creationId xmlns:a16="http://schemas.microsoft.com/office/drawing/2014/main" id="{822FEB88-1DAB-46C1-B5EA-20BC1AA27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434340</xdr:colOff>
      <xdr:row>29</xdr:row>
      <xdr:rowOff>68580</xdr:rowOff>
    </xdr:from>
    <xdr:to>
      <xdr:col>4</xdr:col>
      <xdr:colOff>342900</xdr:colOff>
      <xdr:row>33</xdr:row>
      <xdr:rowOff>53340</xdr:rowOff>
    </xdr:to>
    <xdr:graphicFrame macro="">
      <xdr:nvGraphicFramePr>
        <xdr:cNvPr id="52" name="Chart 51">
          <a:extLst>
            <a:ext uri="{FF2B5EF4-FFF2-40B4-BE49-F238E27FC236}">
              <a16:creationId xmlns:a16="http://schemas.microsoft.com/office/drawing/2014/main" id="{96586296-B6FC-45EF-B0C1-7B6AB0239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464820</xdr:colOff>
      <xdr:row>32</xdr:row>
      <xdr:rowOff>45720</xdr:rowOff>
    </xdr:from>
    <xdr:to>
      <xdr:col>4</xdr:col>
      <xdr:colOff>266700</xdr:colOff>
      <xdr:row>34</xdr:row>
      <xdr:rowOff>144780</xdr:rowOff>
    </xdr:to>
    <xdr:graphicFrame macro="">
      <xdr:nvGraphicFramePr>
        <xdr:cNvPr id="53" name="Chart 52">
          <a:extLst>
            <a:ext uri="{FF2B5EF4-FFF2-40B4-BE49-F238E27FC236}">
              <a16:creationId xmlns:a16="http://schemas.microsoft.com/office/drawing/2014/main" id="{EFF7FDCD-42CE-41C8-9D4C-8DA29F5EA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480060</xdr:colOff>
      <xdr:row>27</xdr:row>
      <xdr:rowOff>130810</xdr:rowOff>
    </xdr:from>
    <xdr:to>
      <xdr:col>2</xdr:col>
      <xdr:colOff>213360</xdr:colOff>
      <xdr:row>28</xdr:row>
      <xdr:rowOff>153670</xdr:rowOff>
    </xdr:to>
    <xdr:sp macro="" textlink="">
      <xdr:nvSpPr>
        <xdr:cNvPr id="54" name="TextBox 53">
          <a:extLst>
            <a:ext uri="{FF2B5EF4-FFF2-40B4-BE49-F238E27FC236}">
              <a16:creationId xmlns:a16="http://schemas.microsoft.com/office/drawing/2014/main" id="{0CF1DCB6-7CFA-4B44-8918-9535D8D688EA}"/>
            </a:ext>
          </a:extLst>
        </xdr:cNvPr>
        <xdr:cNvSpPr txBox="1"/>
      </xdr:nvSpPr>
      <xdr:spPr>
        <a:xfrm>
          <a:off x="480060" y="506857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Branch Office</a:t>
          </a:r>
          <a:endParaRPr lang="en-US" sz="1100">
            <a:solidFill>
              <a:schemeClr val="bg1"/>
            </a:solidFill>
            <a:latin typeface="+mn-lt"/>
            <a:ea typeface="+mn-ea"/>
            <a:cs typeface="+mn-cs"/>
          </a:endParaRPr>
        </a:p>
      </xdr:txBody>
    </xdr:sp>
    <xdr:clientData/>
  </xdr:twoCellAnchor>
  <xdr:twoCellAnchor>
    <xdr:from>
      <xdr:col>0</xdr:col>
      <xdr:colOff>480060</xdr:colOff>
      <xdr:row>29</xdr:row>
      <xdr:rowOff>132080</xdr:rowOff>
    </xdr:from>
    <xdr:to>
      <xdr:col>2</xdr:col>
      <xdr:colOff>213360</xdr:colOff>
      <xdr:row>30</xdr:row>
      <xdr:rowOff>154940</xdr:rowOff>
    </xdr:to>
    <xdr:sp macro="" textlink="">
      <xdr:nvSpPr>
        <xdr:cNvPr id="55" name="TextBox 54">
          <a:extLst>
            <a:ext uri="{FF2B5EF4-FFF2-40B4-BE49-F238E27FC236}">
              <a16:creationId xmlns:a16="http://schemas.microsoft.com/office/drawing/2014/main" id="{65B47A56-B35C-4367-ACB1-D659B3365968}"/>
            </a:ext>
          </a:extLst>
        </xdr:cNvPr>
        <xdr:cNvSpPr txBox="1"/>
      </xdr:nvSpPr>
      <xdr:spPr>
        <a:xfrm>
          <a:off x="480060" y="543560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latin typeface="+mn-lt"/>
              <a:ea typeface="+mn-ea"/>
              <a:cs typeface="+mn-cs"/>
            </a:rPr>
            <a:t>Head Office</a:t>
          </a:r>
        </a:p>
      </xdr:txBody>
    </xdr:sp>
    <xdr:clientData/>
  </xdr:twoCellAnchor>
  <xdr:twoCellAnchor>
    <xdr:from>
      <xdr:col>0</xdr:col>
      <xdr:colOff>472440</xdr:colOff>
      <xdr:row>31</xdr:row>
      <xdr:rowOff>148590</xdr:rowOff>
    </xdr:from>
    <xdr:to>
      <xdr:col>2</xdr:col>
      <xdr:colOff>205740</xdr:colOff>
      <xdr:row>32</xdr:row>
      <xdr:rowOff>171450</xdr:rowOff>
    </xdr:to>
    <xdr:sp macro="" textlink="">
      <xdr:nvSpPr>
        <xdr:cNvPr id="56" name="TextBox 55">
          <a:extLst>
            <a:ext uri="{FF2B5EF4-FFF2-40B4-BE49-F238E27FC236}">
              <a16:creationId xmlns:a16="http://schemas.microsoft.com/office/drawing/2014/main" id="{524EC435-E450-478D-BB2E-4A3FA9860EA6}"/>
            </a:ext>
          </a:extLst>
        </xdr:cNvPr>
        <xdr:cNvSpPr txBox="1"/>
      </xdr:nvSpPr>
      <xdr:spPr>
        <a:xfrm>
          <a:off x="472440" y="581787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Remote</a:t>
          </a:r>
          <a:endParaRPr lang="en-US" sz="1100">
            <a:solidFill>
              <a:schemeClr val="bg1"/>
            </a:solidFill>
            <a:latin typeface="+mn-lt"/>
            <a:ea typeface="+mn-ea"/>
            <a:cs typeface="+mn-cs"/>
          </a:endParaRPr>
        </a:p>
      </xdr:txBody>
    </xdr:sp>
    <xdr:clientData/>
  </xdr:twoCellAnchor>
  <xdr:twoCellAnchor>
    <xdr:from>
      <xdr:col>3</xdr:col>
      <xdr:colOff>99060</xdr:colOff>
      <xdr:row>28</xdr:row>
      <xdr:rowOff>100330</xdr:rowOff>
    </xdr:from>
    <xdr:to>
      <xdr:col>4</xdr:col>
      <xdr:colOff>441960</xdr:colOff>
      <xdr:row>29</xdr:row>
      <xdr:rowOff>123190</xdr:rowOff>
    </xdr:to>
    <xdr:sp macro="" textlink="Pivot!H13">
      <xdr:nvSpPr>
        <xdr:cNvPr id="57" name="TextBox 56">
          <a:extLst>
            <a:ext uri="{FF2B5EF4-FFF2-40B4-BE49-F238E27FC236}">
              <a16:creationId xmlns:a16="http://schemas.microsoft.com/office/drawing/2014/main" id="{490848C7-A56B-4797-8DB1-113896307899}"/>
            </a:ext>
          </a:extLst>
        </xdr:cNvPr>
        <xdr:cNvSpPr txBox="1"/>
      </xdr:nvSpPr>
      <xdr:spPr>
        <a:xfrm>
          <a:off x="1927860" y="522097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EBEDA97B-2EB9-44FB-A177-14833F7521A2}" type="TxLink">
            <a:rPr lang="en-US" sz="1100" b="0" i="0" u="none" strike="noStrike">
              <a:solidFill>
                <a:schemeClr val="bg1"/>
              </a:solidFill>
              <a:latin typeface="Aptos Narrow"/>
              <a:ea typeface="+mn-ea"/>
              <a:cs typeface="+mn-cs"/>
            </a:rPr>
            <a:t>46%</a:t>
          </a:fld>
          <a:endParaRPr lang="en-US" sz="1100">
            <a:solidFill>
              <a:schemeClr val="bg1"/>
            </a:solidFill>
            <a:latin typeface="+mn-lt"/>
            <a:ea typeface="+mn-ea"/>
            <a:cs typeface="+mn-cs"/>
          </a:endParaRPr>
        </a:p>
      </xdr:txBody>
    </xdr:sp>
    <xdr:clientData/>
  </xdr:twoCellAnchor>
  <xdr:twoCellAnchor>
    <xdr:from>
      <xdr:col>3</xdr:col>
      <xdr:colOff>68580</xdr:colOff>
      <xdr:row>30</xdr:row>
      <xdr:rowOff>154940</xdr:rowOff>
    </xdr:from>
    <xdr:to>
      <xdr:col>4</xdr:col>
      <xdr:colOff>411480</xdr:colOff>
      <xdr:row>31</xdr:row>
      <xdr:rowOff>177800</xdr:rowOff>
    </xdr:to>
    <xdr:sp macro="" textlink="Pivot!H14">
      <xdr:nvSpPr>
        <xdr:cNvPr id="58" name="TextBox 57">
          <a:extLst>
            <a:ext uri="{FF2B5EF4-FFF2-40B4-BE49-F238E27FC236}">
              <a16:creationId xmlns:a16="http://schemas.microsoft.com/office/drawing/2014/main" id="{9179B222-FD60-4277-9840-5F09191095E1}"/>
            </a:ext>
          </a:extLst>
        </xdr:cNvPr>
        <xdr:cNvSpPr txBox="1"/>
      </xdr:nvSpPr>
      <xdr:spPr>
        <a:xfrm>
          <a:off x="1897380" y="564134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95532CE-AFFE-43BB-AE15-6EC2DCF1473F}" type="TxLink">
            <a:rPr lang="en-US" sz="1100" b="0" i="0" u="none" strike="noStrike">
              <a:solidFill>
                <a:schemeClr val="bg1"/>
              </a:solidFill>
              <a:latin typeface="Aptos Narrow"/>
              <a:ea typeface="+mn-ea"/>
              <a:cs typeface="+mn-cs"/>
            </a:rPr>
            <a:t>16%</a:t>
          </a:fld>
          <a:endParaRPr lang="en-US" sz="1100">
            <a:solidFill>
              <a:schemeClr val="bg1"/>
            </a:solidFill>
            <a:latin typeface="+mn-lt"/>
            <a:ea typeface="+mn-ea"/>
            <a:cs typeface="+mn-cs"/>
          </a:endParaRPr>
        </a:p>
      </xdr:txBody>
    </xdr:sp>
    <xdr:clientData/>
  </xdr:twoCellAnchor>
  <xdr:twoCellAnchor>
    <xdr:from>
      <xdr:col>3</xdr:col>
      <xdr:colOff>53340</xdr:colOff>
      <xdr:row>32</xdr:row>
      <xdr:rowOff>163830</xdr:rowOff>
    </xdr:from>
    <xdr:to>
      <xdr:col>4</xdr:col>
      <xdr:colOff>396240</xdr:colOff>
      <xdr:row>34</xdr:row>
      <xdr:rowOff>3810</xdr:rowOff>
    </xdr:to>
    <xdr:sp macro="" textlink="Pivot!H15">
      <xdr:nvSpPr>
        <xdr:cNvPr id="59" name="TextBox 58">
          <a:extLst>
            <a:ext uri="{FF2B5EF4-FFF2-40B4-BE49-F238E27FC236}">
              <a16:creationId xmlns:a16="http://schemas.microsoft.com/office/drawing/2014/main" id="{863F0C86-1378-4B98-A424-7D515DFC18C1}"/>
            </a:ext>
          </a:extLst>
        </xdr:cNvPr>
        <xdr:cNvSpPr txBox="1"/>
      </xdr:nvSpPr>
      <xdr:spPr>
        <a:xfrm>
          <a:off x="1882140" y="601599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6FE862B-AED8-4257-A9B8-B6DD9F910894}" type="TxLink">
            <a:rPr lang="en-US" sz="1100" b="0" i="0" u="none" strike="noStrike" baseline="0">
              <a:solidFill>
                <a:schemeClr val="bg1"/>
              </a:solidFill>
              <a:latin typeface="Aptos Narrow"/>
              <a:ea typeface="+mn-ea"/>
              <a:cs typeface="+mn-cs"/>
            </a:rPr>
            <a:t>38%</a:t>
          </a:fld>
          <a:endParaRPr lang="en-US" sz="1100">
            <a:solidFill>
              <a:schemeClr val="bg1"/>
            </a:solidFill>
            <a:latin typeface="+mn-lt"/>
            <a:ea typeface="+mn-ea"/>
            <a:cs typeface="+mn-cs"/>
          </a:endParaRPr>
        </a:p>
      </xdr:txBody>
    </xdr:sp>
    <xdr:clientData/>
  </xdr:twoCellAnchor>
  <xdr:twoCellAnchor>
    <xdr:from>
      <xdr:col>0</xdr:col>
      <xdr:colOff>441960</xdr:colOff>
      <xdr:row>25</xdr:row>
      <xdr:rowOff>15240</xdr:rowOff>
    </xdr:from>
    <xdr:to>
      <xdr:col>2</xdr:col>
      <xdr:colOff>342900</xdr:colOff>
      <xdr:row>26</xdr:row>
      <xdr:rowOff>22860</xdr:rowOff>
    </xdr:to>
    <xdr:sp macro="" textlink="">
      <xdr:nvSpPr>
        <xdr:cNvPr id="60" name="TextBox 59">
          <a:extLst>
            <a:ext uri="{FF2B5EF4-FFF2-40B4-BE49-F238E27FC236}">
              <a16:creationId xmlns:a16="http://schemas.microsoft.com/office/drawing/2014/main" id="{8876BF74-B2BE-4EFC-A2FC-0B4527788FE3}"/>
            </a:ext>
          </a:extLst>
        </xdr:cNvPr>
        <xdr:cNvSpPr txBox="1"/>
      </xdr:nvSpPr>
      <xdr:spPr>
        <a:xfrm>
          <a:off x="441960" y="4587240"/>
          <a:ext cx="112014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accent2"/>
              </a:solidFill>
              <a:latin typeface="+mn-lt"/>
              <a:ea typeface="+mn-ea"/>
              <a:cs typeface="+mn-cs"/>
            </a:rPr>
            <a:t>Work Location</a:t>
          </a:r>
          <a:endParaRPr lang="en-US" sz="1100">
            <a:solidFill>
              <a:schemeClr val="accent2"/>
            </a:solidFill>
            <a:latin typeface="+mn-lt"/>
            <a:ea typeface="+mn-ea"/>
            <a:cs typeface="+mn-cs"/>
          </a:endParaRPr>
        </a:p>
      </xdr:txBody>
    </xdr:sp>
    <xdr:clientData/>
  </xdr:twoCellAnchor>
  <xdr:twoCellAnchor>
    <xdr:from>
      <xdr:col>0</xdr:col>
      <xdr:colOff>434340</xdr:colOff>
      <xdr:row>26</xdr:row>
      <xdr:rowOff>7620</xdr:rowOff>
    </xdr:from>
    <xdr:to>
      <xdr:col>4</xdr:col>
      <xdr:colOff>129540</xdr:colOff>
      <xdr:row>27</xdr:row>
      <xdr:rowOff>30480</xdr:rowOff>
    </xdr:to>
    <xdr:sp macro="" textlink="">
      <xdr:nvSpPr>
        <xdr:cNvPr id="61" name="TextBox 60">
          <a:extLst>
            <a:ext uri="{FF2B5EF4-FFF2-40B4-BE49-F238E27FC236}">
              <a16:creationId xmlns:a16="http://schemas.microsoft.com/office/drawing/2014/main" id="{DC3C5A2A-523A-475B-8886-F630E6E9EDB5}"/>
            </a:ext>
          </a:extLst>
        </xdr:cNvPr>
        <xdr:cNvSpPr txBox="1"/>
      </xdr:nvSpPr>
      <xdr:spPr>
        <a:xfrm>
          <a:off x="434340" y="4762500"/>
          <a:ext cx="21336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000" baseline="0">
              <a:solidFill>
                <a:schemeClr val="tx1">
                  <a:lumMod val="50000"/>
                  <a:lumOff val="50000"/>
                </a:schemeClr>
              </a:solidFill>
              <a:latin typeface="+mn-lt"/>
              <a:ea typeface="+mn-ea"/>
              <a:cs typeface="+mn-cs"/>
            </a:rPr>
            <a:t>Employees to workplace</a:t>
          </a:r>
          <a:endParaRPr lang="en-US" sz="1000">
            <a:solidFill>
              <a:schemeClr val="tx1">
                <a:lumMod val="50000"/>
                <a:lumOff val="50000"/>
              </a:schemeClr>
            </a:solidFill>
            <a:latin typeface="+mn-lt"/>
            <a:ea typeface="+mn-ea"/>
            <a:cs typeface="+mn-cs"/>
          </a:endParaRPr>
        </a:p>
      </xdr:txBody>
    </xdr:sp>
    <xdr:clientData/>
  </xdr:twoCellAnchor>
  <xdr:twoCellAnchor>
    <xdr:from>
      <xdr:col>0</xdr:col>
      <xdr:colOff>510540</xdr:colOff>
      <xdr:row>14</xdr:row>
      <xdr:rowOff>137160</xdr:rowOff>
    </xdr:from>
    <xdr:to>
      <xdr:col>2</xdr:col>
      <xdr:colOff>426720</xdr:colOff>
      <xdr:row>15</xdr:row>
      <xdr:rowOff>115570</xdr:rowOff>
    </xdr:to>
    <xdr:sp macro="" textlink="">
      <xdr:nvSpPr>
        <xdr:cNvPr id="62" name="TextBox 61">
          <a:extLst>
            <a:ext uri="{FF2B5EF4-FFF2-40B4-BE49-F238E27FC236}">
              <a16:creationId xmlns:a16="http://schemas.microsoft.com/office/drawing/2014/main" id="{58B90DDF-F059-41CA-A8A2-4E08D8FFFF15}"/>
            </a:ext>
          </a:extLst>
        </xdr:cNvPr>
        <xdr:cNvSpPr txBox="1"/>
      </xdr:nvSpPr>
      <xdr:spPr>
        <a:xfrm>
          <a:off x="510540" y="2697480"/>
          <a:ext cx="1135380" cy="161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Communication</a:t>
          </a:r>
          <a:endParaRPr lang="en-US" sz="1100">
            <a:solidFill>
              <a:schemeClr val="bg1"/>
            </a:solidFill>
            <a:latin typeface="+mn-lt"/>
            <a:ea typeface="+mn-ea"/>
            <a:cs typeface="+mn-cs"/>
          </a:endParaRPr>
        </a:p>
      </xdr:txBody>
    </xdr:sp>
    <xdr:clientData/>
  </xdr:twoCellAnchor>
  <xdr:twoCellAnchor>
    <xdr:from>
      <xdr:col>0</xdr:col>
      <xdr:colOff>510540</xdr:colOff>
      <xdr:row>15</xdr:row>
      <xdr:rowOff>124460</xdr:rowOff>
    </xdr:from>
    <xdr:to>
      <xdr:col>2</xdr:col>
      <xdr:colOff>243840</xdr:colOff>
      <xdr:row>16</xdr:row>
      <xdr:rowOff>147320</xdr:rowOff>
    </xdr:to>
    <xdr:sp macro="" textlink="">
      <xdr:nvSpPr>
        <xdr:cNvPr id="63" name="TextBox 62">
          <a:extLst>
            <a:ext uri="{FF2B5EF4-FFF2-40B4-BE49-F238E27FC236}">
              <a16:creationId xmlns:a16="http://schemas.microsoft.com/office/drawing/2014/main" id="{082091BC-82A8-44BD-8C93-06041D3E447C}"/>
            </a:ext>
          </a:extLst>
        </xdr:cNvPr>
        <xdr:cNvSpPr txBox="1"/>
      </xdr:nvSpPr>
      <xdr:spPr>
        <a:xfrm>
          <a:off x="510540" y="286766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Design</a:t>
          </a:r>
          <a:endParaRPr lang="en-US" sz="1100">
            <a:solidFill>
              <a:schemeClr val="bg1"/>
            </a:solidFill>
            <a:latin typeface="+mn-lt"/>
            <a:ea typeface="+mn-ea"/>
            <a:cs typeface="+mn-cs"/>
          </a:endParaRPr>
        </a:p>
      </xdr:txBody>
    </xdr:sp>
    <xdr:clientData/>
  </xdr:twoCellAnchor>
  <xdr:twoCellAnchor>
    <xdr:from>
      <xdr:col>0</xdr:col>
      <xdr:colOff>510540</xdr:colOff>
      <xdr:row>16</xdr:row>
      <xdr:rowOff>156210</xdr:rowOff>
    </xdr:from>
    <xdr:to>
      <xdr:col>2</xdr:col>
      <xdr:colOff>243840</xdr:colOff>
      <xdr:row>17</xdr:row>
      <xdr:rowOff>179070</xdr:rowOff>
    </xdr:to>
    <xdr:sp macro="" textlink="">
      <xdr:nvSpPr>
        <xdr:cNvPr id="64" name="TextBox 63">
          <a:extLst>
            <a:ext uri="{FF2B5EF4-FFF2-40B4-BE49-F238E27FC236}">
              <a16:creationId xmlns:a16="http://schemas.microsoft.com/office/drawing/2014/main" id="{0AC5AD2E-04F9-45DD-81C0-27623FFA1842}"/>
            </a:ext>
          </a:extLst>
        </xdr:cNvPr>
        <xdr:cNvSpPr txBox="1"/>
      </xdr:nvSpPr>
      <xdr:spPr>
        <a:xfrm>
          <a:off x="510540" y="308229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bg1"/>
              </a:solidFill>
              <a:latin typeface="+mn-lt"/>
              <a:ea typeface="+mn-ea"/>
              <a:cs typeface="+mn-cs"/>
            </a:rPr>
            <a:t>Excel</a:t>
          </a:r>
        </a:p>
      </xdr:txBody>
    </xdr:sp>
    <xdr:clientData/>
  </xdr:twoCellAnchor>
  <xdr:twoCellAnchor>
    <xdr:from>
      <xdr:col>0</xdr:col>
      <xdr:colOff>510540</xdr:colOff>
      <xdr:row>18</xdr:row>
      <xdr:rowOff>5080</xdr:rowOff>
    </xdr:from>
    <xdr:to>
      <xdr:col>2</xdr:col>
      <xdr:colOff>243840</xdr:colOff>
      <xdr:row>19</xdr:row>
      <xdr:rowOff>27940</xdr:rowOff>
    </xdr:to>
    <xdr:sp macro="" textlink="">
      <xdr:nvSpPr>
        <xdr:cNvPr id="65" name="TextBox 64">
          <a:extLst>
            <a:ext uri="{FF2B5EF4-FFF2-40B4-BE49-F238E27FC236}">
              <a16:creationId xmlns:a16="http://schemas.microsoft.com/office/drawing/2014/main" id="{B3670D7D-8AB3-4822-BF81-E5B074CE591E}"/>
            </a:ext>
          </a:extLst>
        </xdr:cNvPr>
        <xdr:cNvSpPr txBox="1"/>
      </xdr:nvSpPr>
      <xdr:spPr>
        <a:xfrm>
          <a:off x="510540" y="329692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Management</a:t>
          </a:r>
          <a:endParaRPr lang="en-US" sz="1100">
            <a:solidFill>
              <a:schemeClr val="bg1"/>
            </a:solidFill>
            <a:latin typeface="+mn-lt"/>
            <a:ea typeface="+mn-ea"/>
            <a:cs typeface="+mn-cs"/>
          </a:endParaRPr>
        </a:p>
      </xdr:txBody>
    </xdr:sp>
    <xdr:clientData/>
  </xdr:twoCellAnchor>
  <xdr:twoCellAnchor>
    <xdr:from>
      <xdr:col>0</xdr:col>
      <xdr:colOff>510540</xdr:colOff>
      <xdr:row>19</xdr:row>
      <xdr:rowOff>36830</xdr:rowOff>
    </xdr:from>
    <xdr:to>
      <xdr:col>2</xdr:col>
      <xdr:colOff>243840</xdr:colOff>
      <xdr:row>20</xdr:row>
      <xdr:rowOff>59690</xdr:rowOff>
    </xdr:to>
    <xdr:sp macro="" textlink="">
      <xdr:nvSpPr>
        <xdr:cNvPr id="66" name="TextBox 65">
          <a:extLst>
            <a:ext uri="{FF2B5EF4-FFF2-40B4-BE49-F238E27FC236}">
              <a16:creationId xmlns:a16="http://schemas.microsoft.com/office/drawing/2014/main" id="{5B02C21D-0A92-4BA7-AAAA-09D381309EF4}"/>
            </a:ext>
          </a:extLst>
        </xdr:cNvPr>
        <xdr:cNvSpPr txBox="1"/>
      </xdr:nvSpPr>
      <xdr:spPr>
        <a:xfrm>
          <a:off x="510540" y="351155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Python</a:t>
          </a:r>
          <a:endParaRPr lang="en-US" sz="1100">
            <a:solidFill>
              <a:schemeClr val="bg1"/>
            </a:solidFill>
            <a:latin typeface="+mn-lt"/>
            <a:ea typeface="+mn-ea"/>
            <a:cs typeface="+mn-cs"/>
          </a:endParaRPr>
        </a:p>
      </xdr:txBody>
    </xdr:sp>
    <xdr:clientData/>
  </xdr:twoCellAnchor>
  <xdr:twoCellAnchor>
    <xdr:from>
      <xdr:col>1</xdr:col>
      <xdr:colOff>358140</xdr:colOff>
      <xdr:row>14</xdr:row>
      <xdr:rowOff>144780</xdr:rowOff>
    </xdr:from>
    <xdr:to>
      <xdr:col>3</xdr:col>
      <xdr:colOff>274320</xdr:colOff>
      <xdr:row>15</xdr:row>
      <xdr:rowOff>123190</xdr:rowOff>
    </xdr:to>
    <xdr:sp macro="" textlink="Pivot!C19">
      <xdr:nvSpPr>
        <xdr:cNvPr id="67" name="TextBox 66">
          <a:extLst>
            <a:ext uri="{FF2B5EF4-FFF2-40B4-BE49-F238E27FC236}">
              <a16:creationId xmlns:a16="http://schemas.microsoft.com/office/drawing/2014/main" id="{E39EEB53-25C7-4E73-A23A-DDB2AE97CFB2}"/>
            </a:ext>
          </a:extLst>
        </xdr:cNvPr>
        <xdr:cNvSpPr txBox="1"/>
      </xdr:nvSpPr>
      <xdr:spPr>
        <a:xfrm>
          <a:off x="967740" y="2705100"/>
          <a:ext cx="1135380" cy="1612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3591089-EF1E-467B-8C66-D207E6213BFA}" type="TxLink">
            <a:rPr lang="en-US" sz="1100" b="0" i="0" u="none" strike="noStrike" baseline="0">
              <a:solidFill>
                <a:schemeClr val="accent2"/>
              </a:solidFill>
              <a:latin typeface="Aptos Narrow"/>
              <a:ea typeface="+mn-ea"/>
              <a:cs typeface="+mn-cs"/>
            </a:rPr>
            <a:t>12</a:t>
          </a:fld>
          <a:endParaRPr lang="en-US" sz="1100">
            <a:solidFill>
              <a:schemeClr val="accent2"/>
            </a:solidFill>
            <a:latin typeface="+mn-lt"/>
            <a:ea typeface="+mn-ea"/>
            <a:cs typeface="+mn-cs"/>
          </a:endParaRPr>
        </a:p>
      </xdr:txBody>
    </xdr:sp>
    <xdr:clientData/>
  </xdr:twoCellAnchor>
  <xdr:twoCellAnchor>
    <xdr:from>
      <xdr:col>1</xdr:col>
      <xdr:colOff>541020</xdr:colOff>
      <xdr:row>15</xdr:row>
      <xdr:rowOff>132080</xdr:rowOff>
    </xdr:from>
    <xdr:to>
      <xdr:col>3</xdr:col>
      <xdr:colOff>274320</xdr:colOff>
      <xdr:row>16</xdr:row>
      <xdr:rowOff>154940</xdr:rowOff>
    </xdr:to>
    <xdr:sp macro="" textlink="Pivot!C20">
      <xdr:nvSpPr>
        <xdr:cNvPr id="68" name="TextBox 67">
          <a:extLst>
            <a:ext uri="{FF2B5EF4-FFF2-40B4-BE49-F238E27FC236}">
              <a16:creationId xmlns:a16="http://schemas.microsoft.com/office/drawing/2014/main" id="{80955A29-D877-4931-970D-04E799B49142}"/>
            </a:ext>
          </a:extLst>
        </xdr:cNvPr>
        <xdr:cNvSpPr txBox="1"/>
      </xdr:nvSpPr>
      <xdr:spPr>
        <a:xfrm>
          <a:off x="1150620" y="287528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5A24A05-4561-4C61-861E-19E0280A4EC1}" type="TxLink">
            <a:rPr lang="en-US" sz="1100" b="0" i="0" u="none" strike="noStrike" baseline="0">
              <a:solidFill>
                <a:schemeClr val="accent2"/>
              </a:solidFill>
              <a:latin typeface="Aptos Narrow"/>
              <a:ea typeface="+mn-ea"/>
              <a:cs typeface="+mn-cs"/>
            </a:rPr>
            <a:t>11</a:t>
          </a:fld>
          <a:endParaRPr lang="en-US" sz="1100">
            <a:solidFill>
              <a:schemeClr val="accent2"/>
            </a:solidFill>
            <a:latin typeface="+mn-lt"/>
            <a:ea typeface="+mn-ea"/>
            <a:cs typeface="+mn-cs"/>
          </a:endParaRPr>
        </a:p>
      </xdr:txBody>
    </xdr:sp>
    <xdr:clientData/>
  </xdr:twoCellAnchor>
  <xdr:twoCellAnchor>
    <xdr:from>
      <xdr:col>1</xdr:col>
      <xdr:colOff>541020</xdr:colOff>
      <xdr:row>16</xdr:row>
      <xdr:rowOff>163830</xdr:rowOff>
    </xdr:from>
    <xdr:to>
      <xdr:col>3</xdr:col>
      <xdr:colOff>274320</xdr:colOff>
      <xdr:row>18</xdr:row>
      <xdr:rowOff>3810</xdr:rowOff>
    </xdr:to>
    <xdr:sp macro="" textlink="Pivot!C21">
      <xdr:nvSpPr>
        <xdr:cNvPr id="69" name="TextBox 68">
          <a:extLst>
            <a:ext uri="{FF2B5EF4-FFF2-40B4-BE49-F238E27FC236}">
              <a16:creationId xmlns:a16="http://schemas.microsoft.com/office/drawing/2014/main" id="{648AEA04-13DB-43BA-A4E8-B1B3C077306A}"/>
            </a:ext>
          </a:extLst>
        </xdr:cNvPr>
        <xdr:cNvSpPr txBox="1"/>
      </xdr:nvSpPr>
      <xdr:spPr>
        <a:xfrm>
          <a:off x="1150620" y="308991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C659B15-D30A-4EBD-AF06-00FD067ECAC4}" type="TxLink">
            <a:rPr lang="en-US" sz="1100" b="0" i="0" u="none" strike="noStrike">
              <a:solidFill>
                <a:schemeClr val="accent2"/>
              </a:solidFill>
              <a:latin typeface="Aptos Narrow"/>
              <a:ea typeface="+mn-ea"/>
              <a:cs typeface="+mn-cs"/>
            </a:rPr>
            <a:t>7</a:t>
          </a:fld>
          <a:endParaRPr lang="en-US" sz="1100">
            <a:solidFill>
              <a:schemeClr val="accent2"/>
            </a:solidFill>
            <a:latin typeface="+mn-lt"/>
            <a:ea typeface="+mn-ea"/>
            <a:cs typeface="+mn-cs"/>
          </a:endParaRPr>
        </a:p>
      </xdr:txBody>
    </xdr:sp>
    <xdr:clientData/>
  </xdr:twoCellAnchor>
  <xdr:twoCellAnchor>
    <xdr:from>
      <xdr:col>1</xdr:col>
      <xdr:colOff>541020</xdr:colOff>
      <xdr:row>18</xdr:row>
      <xdr:rowOff>12700</xdr:rowOff>
    </xdr:from>
    <xdr:to>
      <xdr:col>3</xdr:col>
      <xdr:colOff>274320</xdr:colOff>
      <xdr:row>19</xdr:row>
      <xdr:rowOff>35560</xdr:rowOff>
    </xdr:to>
    <xdr:sp macro="" textlink="Pivot!C22">
      <xdr:nvSpPr>
        <xdr:cNvPr id="70" name="TextBox 69">
          <a:extLst>
            <a:ext uri="{FF2B5EF4-FFF2-40B4-BE49-F238E27FC236}">
              <a16:creationId xmlns:a16="http://schemas.microsoft.com/office/drawing/2014/main" id="{78743984-C5A7-4FA5-A3F6-54089F207649}"/>
            </a:ext>
          </a:extLst>
        </xdr:cNvPr>
        <xdr:cNvSpPr txBox="1"/>
      </xdr:nvSpPr>
      <xdr:spPr>
        <a:xfrm>
          <a:off x="1150620" y="330454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7BF750A-BF82-42FA-9FDB-4CAC0DE15238}" type="TxLink">
            <a:rPr lang="en-US" sz="1100" b="0" i="0" u="none" strike="noStrike" baseline="0">
              <a:solidFill>
                <a:schemeClr val="accent2"/>
              </a:solidFill>
              <a:latin typeface="Aptos Narrow"/>
              <a:ea typeface="+mn-ea"/>
              <a:cs typeface="+mn-cs"/>
            </a:rPr>
            <a:t>11</a:t>
          </a:fld>
          <a:endParaRPr lang="en-US" sz="1100">
            <a:solidFill>
              <a:schemeClr val="accent2"/>
            </a:solidFill>
            <a:latin typeface="+mn-lt"/>
            <a:ea typeface="+mn-ea"/>
            <a:cs typeface="+mn-cs"/>
          </a:endParaRPr>
        </a:p>
      </xdr:txBody>
    </xdr:sp>
    <xdr:clientData/>
  </xdr:twoCellAnchor>
  <xdr:twoCellAnchor>
    <xdr:from>
      <xdr:col>1</xdr:col>
      <xdr:colOff>541020</xdr:colOff>
      <xdr:row>19</xdr:row>
      <xdr:rowOff>44450</xdr:rowOff>
    </xdr:from>
    <xdr:to>
      <xdr:col>3</xdr:col>
      <xdr:colOff>274320</xdr:colOff>
      <xdr:row>20</xdr:row>
      <xdr:rowOff>67310</xdr:rowOff>
    </xdr:to>
    <xdr:sp macro="" textlink="Pivot!C23">
      <xdr:nvSpPr>
        <xdr:cNvPr id="71" name="TextBox 70">
          <a:extLst>
            <a:ext uri="{FF2B5EF4-FFF2-40B4-BE49-F238E27FC236}">
              <a16:creationId xmlns:a16="http://schemas.microsoft.com/office/drawing/2014/main" id="{4C82DB92-0EFE-4C12-B93E-5F78ACF7561D}"/>
            </a:ext>
          </a:extLst>
        </xdr:cNvPr>
        <xdr:cNvSpPr txBox="1"/>
      </xdr:nvSpPr>
      <xdr:spPr>
        <a:xfrm>
          <a:off x="1150620" y="351917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3D3D9BF0-91EE-426D-8592-CA254EC34ED2}" type="TxLink">
            <a:rPr lang="en-US" sz="1100" b="0" i="0" u="none" strike="noStrike" baseline="0">
              <a:solidFill>
                <a:schemeClr val="accent2"/>
              </a:solidFill>
              <a:latin typeface="Aptos Narrow"/>
              <a:ea typeface="+mn-ea"/>
              <a:cs typeface="+mn-cs"/>
            </a:rPr>
            <a:t>9</a:t>
          </a:fld>
          <a:endParaRPr lang="en-US" sz="1100">
            <a:solidFill>
              <a:schemeClr val="accent2"/>
            </a:solidFill>
            <a:latin typeface="+mn-lt"/>
            <a:ea typeface="+mn-ea"/>
            <a:cs typeface="+mn-cs"/>
          </a:endParaRPr>
        </a:p>
      </xdr:txBody>
    </xdr:sp>
    <xdr:clientData/>
  </xdr:twoCellAnchor>
  <xdr:twoCellAnchor>
    <xdr:from>
      <xdr:col>0</xdr:col>
      <xdr:colOff>548640</xdr:colOff>
      <xdr:row>12</xdr:row>
      <xdr:rowOff>106680</xdr:rowOff>
    </xdr:from>
    <xdr:to>
      <xdr:col>3</xdr:col>
      <xdr:colOff>312420</xdr:colOff>
      <xdr:row>14</xdr:row>
      <xdr:rowOff>15240</xdr:rowOff>
    </xdr:to>
    <xdr:sp macro="" textlink="">
      <xdr:nvSpPr>
        <xdr:cNvPr id="72" name="TextBox 71">
          <a:extLst>
            <a:ext uri="{FF2B5EF4-FFF2-40B4-BE49-F238E27FC236}">
              <a16:creationId xmlns:a16="http://schemas.microsoft.com/office/drawing/2014/main" id="{093BCBFF-D6D6-4EBA-8B65-45D1679E1885}"/>
            </a:ext>
          </a:extLst>
        </xdr:cNvPr>
        <xdr:cNvSpPr txBox="1"/>
      </xdr:nvSpPr>
      <xdr:spPr>
        <a:xfrm>
          <a:off x="548640" y="2301240"/>
          <a:ext cx="15925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aseline="0">
              <a:solidFill>
                <a:schemeClr val="accent2"/>
              </a:solidFill>
              <a:latin typeface="+mn-lt"/>
              <a:ea typeface="+mn-ea"/>
              <a:cs typeface="+mn-cs"/>
            </a:rPr>
            <a:t>Skills Breakdown</a:t>
          </a:r>
          <a:endParaRPr lang="en-US" sz="1600">
            <a:solidFill>
              <a:schemeClr val="accent2"/>
            </a:solidFill>
            <a:latin typeface="+mn-lt"/>
            <a:ea typeface="+mn-ea"/>
            <a:cs typeface="+mn-cs"/>
          </a:endParaRPr>
        </a:p>
      </xdr:txBody>
    </xdr:sp>
    <xdr:clientData/>
  </xdr:twoCellAnchor>
  <xdr:twoCellAnchor editAs="oneCell">
    <xdr:from>
      <xdr:col>1</xdr:col>
      <xdr:colOff>236220</xdr:colOff>
      <xdr:row>7</xdr:row>
      <xdr:rowOff>114300</xdr:rowOff>
    </xdr:from>
    <xdr:to>
      <xdr:col>2</xdr:col>
      <xdr:colOff>541020</xdr:colOff>
      <xdr:row>12</xdr:row>
      <xdr:rowOff>114300</xdr:rowOff>
    </xdr:to>
    <xdr:pic>
      <xdr:nvPicPr>
        <xdr:cNvPr id="74" name="Graphic 73" descr="Briefcase with solid fill">
          <a:extLst>
            <a:ext uri="{FF2B5EF4-FFF2-40B4-BE49-F238E27FC236}">
              <a16:creationId xmlns:a16="http://schemas.microsoft.com/office/drawing/2014/main" id="{FEB5286D-7DA1-02D4-9418-5E492EBF083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845820" y="1394460"/>
          <a:ext cx="914400" cy="914400"/>
        </a:xfrm>
        <a:prstGeom prst="rect">
          <a:avLst/>
        </a:prstGeom>
      </xdr:spPr>
    </xdr:pic>
    <xdr:clientData/>
  </xdr:twoCellAnchor>
  <xdr:twoCellAnchor>
    <xdr:from>
      <xdr:col>4</xdr:col>
      <xdr:colOff>281940</xdr:colOff>
      <xdr:row>7</xdr:row>
      <xdr:rowOff>114300</xdr:rowOff>
    </xdr:from>
    <xdr:to>
      <xdr:col>6</xdr:col>
      <xdr:colOff>99060</xdr:colOff>
      <xdr:row>8</xdr:row>
      <xdr:rowOff>152400</xdr:rowOff>
    </xdr:to>
    <xdr:sp macro="" textlink="">
      <xdr:nvSpPr>
        <xdr:cNvPr id="75" name="TextBox 74">
          <a:extLst>
            <a:ext uri="{FF2B5EF4-FFF2-40B4-BE49-F238E27FC236}">
              <a16:creationId xmlns:a16="http://schemas.microsoft.com/office/drawing/2014/main" id="{6AC105B3-7EEC-467F-9FC3-3C33FABC2B53}"/>
            </a:ext>
          </a:extLst>
        </xdr:cNvPr>
        <xdr:cNvSpPr txBox="1"/>
      </xdr:nvSpPr>
      <xdr:spPr>
        <a:xfrm>
          <a:off x="2720340" y="1394460"/>
          <a:ext cx="10363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baseline="0">
              <a:solidFill>
                <a:schemeClr val="accent2"/>
              </a:solidFill>
              <a:latin typeface="+mn-lt"/>
              <a:ea typeface="+mn-ea"/>
              <a:cs typeface="+mn-cs"/>
            </a:rPr>
            <a:t>Employees</a:t>
          </a:r>
          <a:endParaRPr lang="en-US" sz="1400">
            <a:solidFill>
              <a:schemeClr val="accent2"/>
            </a:solidFill>
            <a:latin typeface="+mn-lt"/>
            <a:ea typeface="+mn-ea"/>
            <a:cs typeface="+mn-cs"/>
          </a:endParaRPr>
        </a:p>
      </xdr:txBody>
    </xdr:sp>
    <xdr:clientData/>
  </xdr:twoCellAnchor>
  <xdr:twoCellAnchor>
    <xdr:from>
      <xdr:col>4</xdr:col>
      <xdr:colOff>274320</xdr:colOff>
      <xdr:row>8</xdr:row>
      <xdr:rowOff>114300</xdr:rowOff>
    </xdr:from>
    <xdr:to>
      <xdr:col>5</xdr:col>
      <xdr:colOff>525780</xdr:colOff>
      <xdr:row>12</xdr:row>
      <xdr:rowOff>38100</xdr:rowOff>
    </xdr:to>
    <xdr:sp macro="" textlink="">
      <xdr:nvSpPr>
        <xdr:cNvPr id="76" name="TextBox 75">
          <a:extLst>
            <a:ext uri="{FF2B5EF4-FFF2-40B4-BE49-F238E27FC236}">
              <a16:creationId xmlns:a16="http://schemas.microsoft.com/office/drawing/2014/main" id="{6DF45CB2-B6F9-4B9E-8542-90EC1A0F6AE1}"/>
            </a:ext>
          </a:extLst>
        </xdr:cNvPr>
        <xdr:cNvSpPr txBox="1"/>
      </xdr:nvSpPr>
      <xdr:spPr>
        <a:xfrm>
          <a:off x="2712720" y="1577340"/>
          <a:ext cx="86106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4400" b="1" baseline="0">
              <a:solidFill>
                <a:schemeClr val="bg1"/>
              </a:solidFill>
              <a:latin typeface="+mn-lt"/>
              <a:ea typeface="+mn-ea"/>
              <a:cs typeface="+mn-cs"/>
            </a:rPr>
            <a:t>50</a:t>
          </a:r>
          <a:endParaRPr lang="en-US" sz="4400" b="1">
            <a:solidFill>
              <a:schemeClr val="bg1"/>
            </a:solidFill>
            <a:latin typeface="+mn-lt"/>
            <a:ea typeface="+mn-ea"/>
            <a:cs typeface="+mn-cs"/>
          </a:endParaRPr>
        </a:p>
      </xdr:txBody>
    </xdr:sp>
    <xdr:clientData/>
  </xdr:twoCellAnchor>
  <xdr:twoCellAnchor>
    <xdr:from>
      <xdr:col>4</xdr:col>
      <xdr:colOff>281940</xdr:colOff>
      <xdr:row>11</xdr:row>
      <xdr:rowOff>121920</xdr:rowOff>
    </xdr:from>
    <xdr:to>
      <xdr:col>6</xdr:col>
      <xdr:colOff>441960</xdr:colOff>
      <xdr:row>12</xdr:row>
      <xdr:rowOff>167640</xdr:rowOff>
    </xdr:to>
    <xdr:sp macro="" textlink="">
      <xdr:nvSpPr>
        <xdr:cNvPr id="77" name="TextBox 76">
          <a:extLst>
            <a:ext uri="{FF2B5EF4-FFF2-40B4-BE49-F238E27FC236}">
              <a16:creationId xmlns:a16="http://schemas.microsoft.com/office/drawing/2014/main" id="{491311F1-AB1C-474C-825C-BCA368AF5F83}"/>
            </a:ext>
          </a:extLst>
        </xdr:cNvPr>
        <xdr:cNvSpPr txBox="1"/>
      </xdr:nvSpPr>
      <xdr:spPr>
        <a:xfrm>
          <a:off x="2720340" y="2133600"/>
          <a:ext cx="13792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tx1">
                  <a:lumMod val="50000"/>
                  <a:lumOff val="50000"/>
                </a:schemeClr>
              </a:solidFill>
              <a:latin typeface="+mn-lt"/>
              <a:ea typeface="+mn-ea"/>
              <a:cs typeface="+mn-cs"/>
            </a:rPr>
            <a:t>Total Employees</a:t>
          </a:r>
          <a:endParaRPr lang="en-US" sz="1100">
            <a:solidFill>
              <a:schemeClr val="tx1">
                <a:lumMod val="50000"/>
                <a:lumOff val="50000"/>
              </a:schemeClr>
            </a:solidFill>
            <a:latin typeface="+mn-lt"/>
            <a:ea typeface="+mn-ea"/>
            <a:cs typeface="+mn-cs"/>
          </a:endParaRPr>
        </a:p>
      </xdr:txBody>
    </xdr:sp>
    <xdr:clientData/>
  </xdr:twoCellAnchor>
  <xdr:twoCellAnchor editAs="oneCell">
    <xdr:from>
      <xdr:col>6</xdr:col>
      <xdr:colOff>228600</xdr:colOff>
      <xdr:row>8</xdr:row>
      <xdr:rowOff>7620</xdr:rowOff>
    </xdr:from>
    <xdr:to>
      <xdr:col>7</xdr:col>
      <xdr:colOff>533400</xdr:colOff>
      <xdr:row>13</xdr:row>
      <xdr:rowOff>7620</xdr:rowOff>
    </xdr:to>
    <xdr:pic>
      <xdr:nvPicPr>
        <xdr:cNvPr id="79" name="Graphic 78" descr="Group of people with solid fill">
          <a:extLst>
            <a:ext uri="{FF2B5EF4-FFF2-40B4-BE49-F238E27FC236}">
              <a16:creationId xmlns:a16="http://schemas.microsoft.com/office/drawing/2014/main" id="{4F18EF5A-35D9-293C-6937-3E3CA4095A1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86200" y="1470660"/>
          <a:ext cx="914400" cy="914400"/>
        </a:xfrm>
        <a:prstGeom prst="rect">
          <a:avLst/>
        </a:prstGeom>
      </xdr:spPr>
    </xdr:pic>
    <xdr:clientData/>
  </xdr:twoCellAnchor>
  <xdr:twoCellAnchor>
    <xdr:from>
      <xdr:col>4</xdr:col>
      <xdr:colOff>228600</xdr:colOff>
      <xdr:row>15</xdr:row>
      <xdr:rowOff>15240</xdr:rowOff>
    </xdr:from>
    <xdr:to>
      <xdr:col>5</xdr:col>
      <xdr:colOff>571500</xdr:colOff>
      <xdr:row>16</xdr:row>
      <xdr:rowOff>38100</xdr:rowOff>
    </xdr:to>
    <xdr:sp macro="" textlink="">
      <xdr:nvSpPr>
        <xdr:cNvPr id="80" name="TextBox 79">
          <a:extLst>
            <a:ext uri="{FF2B5EF4-FFF2-40B4-BE49-F238E27FC236}">
              <a16:creationId xmlns:a16="http://schemas.microsoft.com/office/drawing/2014/main" id="{CEA44B1B-6C48-409E-BD63-5EF090690839}"/>
            </a:ext>
          </a:extLst>
        </xdr:cNvPr>
        <xdr:cNvSpPr txBox="1"/>
      </xdr:nvSpPr>
      <xdr:spPr>
        <a:xfrm>
          <a:off x="2667000" y="275844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accent2"/>
              </a:solidFill>
              <a:latin typeface="+mn-lt"/>
              <a:ea typeface="+mn-ea"/>
              <a:cs typeface="+mn-cs"/>
            </a:rPr>
            <a:t>Males</a:t>
          </a:r>
          <a:endParaRPr lang="en-US" sz="1100">
            <a:solidFill>
              <a:schemeClr val="accent2"/>
            </a:solidFill>
            <a:latin typeface="+mn-lt"/>
            <a:ea typeface="+mn-ea"/>
            <a:cs typeface="+mn-cs"/>
          </a:endParaRPr>
        </a:p>
      </xdr:txBody>
    </xdr:sp>
    <xdr:clientData/>
  </xdr:twoCellAnchor>
  <xdr:twoCellAnchor>
    <xdr:from>
      <xdr:col>6</xdr:col>
      <xdr:colOff>236220</xdr:colOff>
      <xdr:row>15</xdr:row>
      <xdr:rowOff>0</xdr:rowOff>
    </xdr:from>
    <xdr:to>
      <xdr:col>7</xdr:col>
      <xdr:colOff>579120</xdr:colOff>
      <xdr:row>16</xdr:row>
      <xdr:rowOff>22860</xdr:rowOff>
    </xdr:to>
    <xdr:sp macro="" textlink="">
      <xdr:nvSpPr>
        <xdr:cNvPr id="81" name="TextBox 80">
          <a:extLst>
            <a:ext uri="{FF2B5EF4-FFF2-40B4-BE49-F238E27FC236}">
              <a16:creationId xmlns:a16="http://schemas.microsoft.com/office/drawing/2014/main" id="{81B57414-4940-4AB4-9CAF-7BE9ECA45EF2}"/>
            </a:ext>
          </a:extLst>
        </xdr:cNvPr>
        <xdr:cNvSpPr txBox="1"/>
      </xdr:nvSpPr>
      <xdr:spPr>
        <a:xfrm>
          <a:off x="3893820" y="274320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accent2"/>
              </a:solidFill>
              <a:latin typeface="+mn-lt"/>
              <a:ea typeface="+mn-ea"/>
              <a:cs typeface="+mn-cs"/>
            </a:rPr>
            <a:t>Females</a:t>
          </a:r>
          <a:endParaRPr lang="en-US" sz="1100">
            <a:solidFill>
              <a:schemeClr val="accent2"/>
            </a:solidFill>
            <a:latin typeface="+mn-lt"/>
            <a:ea typeface="+mn-ea"/>
            <a:cs typeface="+mn-cs"/>
          </a:endParaRPr>
        </a:p>
      </xdr:txBody>
    </xdr:sp>
    <xdr:clientData/>
  </xdr:twoCellAnchor>
  <xdr:twoCellAnchor>
    <xdr:from>
      <xdr:col>3</xdr:col>
      <xdr:colOff>601980</xdr:colOff>
      <xdr:row>15</xdr:row>
      <xdr:rowOff>30480</xdr:rowOff>
    </xdr:from>
    <xdr:to>
      <xdr:col>6</xdr:col>
      <xdr:colOff>320040</xdr:colOff>
      <xdr:row>21</xdr:row>
      <xdr:rowOff>121920</xdr:rowOff>
    </xdr:to>
    <xdr:graphicFrame macro="">
      <xdr:nvGraphicFramePr>
        <xdr:cNvPr id="82" name="Chart 81">
          <a:extLst>
            <a:ext uri="{FF2B5EF4-FFF2-40B4-BE49-F238E27FC236}">
              <a16:creationId xmlns:a16="http://schemas.microsoft.com/office/drawing/2014/main" id="{2BED0975-F3B8-4FD7-A42B-A82C9EDA7C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594360</xdr:colOff>
      <xdr:row>16</xdr:row>
      <xdr:rowOff>167640</xdr:rowOff>
    </xdr:from>
    <xdr:to>
      <xdr:col>7</xdr:col>
      <xdr:colOff>510540</xdr:colOff>
      <xdr:row>22</xdr:row>
      <xdr:rowOff>45720</xdr:rowOff>
    </xdr:to>
    <xdr:graphicFrame macro="">
      <xdr:nvGraphicFramePr>
        <xdr:cNvPr id="84" name="Chart 83">
          <a:extLst>
            <a:ext uri="{FF2B5EF4-FFF2-40B4-BE49-F238E27FC236}">
              <a16:creationId xmlns:a16="http://schemas.microsoft.com/office/drawing/2014/main" id="{FCEFDC1A-C50A-82A4-DA16-65641095E2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411480</xdr:colOff>
      <xdr:row>17</xdr:row>
      <xdr:rowOff>22860</xdr:rowOff>
    </xdr:from>
    <xdr:to>
      <xdr:col>6</xdr:col>
      <xdr:colOff>53340</xdr:colOff>
      <xdr:row>20</xdr:row>
      <xdr:rowOff>129540</xdr:rowOff>
    </xdr:to>
    <xdr:sp macro="" textlink="">
      <xdr:nvSpPr>
        <xdr:cNvPr id="85" name="TextBox 84">
          <a:extLst>
            <a:ext uri="{FF2B5EF4-FFF2-40B4-BE49-F238E27FC236}">
              <a16:creationId xmlns:a16="http://schemas.microsoft.com/office/drawing/2014/main" id="{73BDCFBA-8C73-4B49-94B5-263B775DE97C}"/>
            </a:ext>
          </a:extLst>
        </xdr:cNvPr>
        <xdr:cNvSpPr txBox="1"/>
      </xdr:nvSpPr>
      <xdr:spPr>
        <a:xfrm>
          <a:off x="2849880" y="3131820"/>
          <a:ext cx="86106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bg1"/>
              </a:solidFill>
              <a:latin typeface="+mn-lt"/>
              <a:ea typeface="+mn-ea"/>
              <a:cs typeface="+mn-cs"/>
            </a:rPr>
            <a:t>52%</a:t>
          </a:r>
        </a:p>
      </xdr:txBody>
    </xdr:sp>
    <xdr:clientData/>
  </xdr:twoCellAnchor>
  <xdr:twoCellAnchor>
    <xdr:from>
      <xdr:col>6</xdr:col>
      <xdr:colOff>426720</xdr:colOff>
      <xdr:row>17</xdr:row>
      <xdr:rowOff>22860</xdr:rowOff>
    </xdr:from>
    <xdr:to>
      <xdr:col>8</xdr:col>
      <xdr:colOff>68580</xdr:colOff>
      <xdr:row>20</xdr:row>
      <xdr:rowOff>129540</xdr:rowOff>
    </xdr:to>
    <xdr:sp macro="" textlink="">
      <xdr:nvSpPr>
        <xdr:cNvPr id="86" name="TextBox 85">
          <a:extLst>
            <a:ext uri="{FF2B5EF4-FFF2-40B4-BE49-F238E27FC236}">
              <a16:creationId xmlns:a16="http://schemas.microsoft.com/office/drawing/2014/main" id="{E7648296-DB22-48D1-8EC8-466BD7391383}"/>
            </a:ext>
          </a:extLst>
        </xdr:cNvPr>
        <xdr:cNvSpPr txBox="1"/>
      </xdr:nvSpPr>
      <xdr:spPr>
        <a:xfrm>
          <a:off x="4084320" y="3131820"/>
          <a:ext cx="861060" cy="655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b="1">
              <a:solidFill>
                <a:schemeClr val="bg1"/>
              </a:solidFill>
              <a:latin typeface="+mn-lt"/>
              <a:ea typeface="+mn-ea"/>
              <a:cs typeface="+mn-cs"/>
            </a:rPr>
            <a:t>48%</a:t>
          </a:r>
        </a:p>
      </xdr:txBody>
    </xdr:sp>
    <xdr:clientData/>
  </xdr:twoCellAnchor>
  <xdr:twoCellAnchor>
    <xdr:from>
      <xdr:col>8</xdr:col>
      <xdr:colOff>236220</xdr:colOff>
      <xdr:row>9</xdr:row>
      <xdr:rowOff>167640</xdr:rowOff>
    </xdr:from>
    <xdr:to>
      <xdr:col>12</xdr:col>
      <xdr:colOff>259080</xdr:colOff>
      <xdr:row>20</xdr:row>
      <xdr:rowOff>175260</xdr:rowOff>
    </xdr:to>
    <xdr:graphicFrame macro="">
      <xdr:nvGraphicFramePr>
        <xdr:cNvPr id="88" name="Chart 87">
          <a:extLst>
            <a:ext uri="{FF2B5EF4-FFF2-40B4-BE49-F238E27FC236}">
              <a16:creationId xmlns:a16="http://schemas.microsoft.com/office/drawing/2014/main" id="{41C92C82-EE01-4687-870F-EA53A0AF78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403860</xdr:colOff>
      <xdr:row>8</xdr:row>
      <xdr:rowOff>0</xdr:rowOff>
    </xdr:from>
    <xdr:to>
      <xdr:col>11</xdr:col>
      <xdr:colOff>68580</xdr:colOff>
      <xdr:row>8</xdr:row>
      <xdr:rowOff>137160</xdr:rowOff>
    </xdr:to>
    <xdr:sp macro="" textlink="">
      <xdr:nvSpPr>
        <xdr:cNvPr id="89" name="TextBox 88">
          <a:extLst>
            <a:ext uri="{FF2B5EF4-FFF2-40B4-BE49-F238E27FC236}">
              <a16:creationId xmlns:a16="http://schemas.microsoft.com/office/drawing/2014/main" id="{2513A770-4264-4805-AA8C-EF4C39924E77}"/>
            </a:ext>
          </a:extLst>
        </xdr:cNvPr>
        <xdr:cNvSpPr txBox="1"/>
      </xdr:nvSpPr>
      <xdr:spPr>
        <a:xfrm>
          <a:off x="5280660" y="1463040"/>
          <a:ext cx="149352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accent2"/>
              </a:solidFill>
              <a:latin typeface="+mn-lt"/>
              <a:ea typeface="+mn-ea"/>
              <a:cs typeface="+mn-cs"/>
            </a:rPr>
            <a:t>Leave Breakdowon</a:t>
          </a:r>
          <a:endParaRPr lang="en-US" sz="1100">
            <a:solidFill>
              <a:schemeClr val="accent2"/>
            </a:solidFill>
            <a:latin typeface="+mn-lt"/>
            <a:ea typeface="+mn-ea"/>
            <a:cs typeface="+mn-cs"/>
          </a:endParaRPr>
        </a:p>
      </xdr:txBody>
    </xdr:sp>
    <xdr:clientData/>
  </xdr:twoCellAnchor>
  <xdr:twoCellAnchor>
    <xdr:from>
      <xdr:col>12</xdr:col>
      <xdr:colOff>403860</xdr:colOff>
      <xdr:row>14</xdr:row>
      <xdr:rowOff>45720</xdr:rowOff>
    </xdr:from>
    <xdr:to>
      <xdr:col>16</xdr:col>
      <xdr:colOff>15240</xdr:colOff>
      <xdr:row>21</xdr:row>
      <xdr:rowOff>7620</xdr:rowOff>
    </xdr:to>
    <xdr:sp macro="" textlink="">
      <xdr:nvSpPr>
        <xdr:cNvPr id="90" name="Rectangle: Rounded Corners 89">
          <a:extLst>
            <a:ext uri="{FF2B5EF4-FFF2-40B4-BE49-F238E27FC236}">
              <a16:creationId xmlns:a16="http://schemas.microsoft.com/office/drawing/2014/main" id="{D3234198-E10A-4DDE-88FE-5BB3014204DC}"/>
            </a:ext>
          </a:extLst>
        </xdr:cNvPr>
        <xdr:cNvSpPr/>
      </xdr:nvSpPr>
      <xdr:spPr>
        <a:xfrm>
          <a:off x="7719060" y="2606040"/>
          <a:ext cx="2049780" cy="124206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12</xdr:col>
      <xdr:colOff>518160</xdr:colOff>
      <xdr:row>15</xdr:row>
      <xdr:rowOff>129540</xdr:rowOff>
    </xdr:from>
    <xdr:to>
      <xdr:col>15</xdr:col>
      <xdr:colOff>525780</xdr:colOff>
      <xdr:row>20</xdr:row>
      <xdr:rowOff>121920</xdr:rowOff>
    </xdr:to>
    <xdr:graphicFrame macro="">
      <xdr:nvGraphicFramePr>
        <xdr:cNvPr id="92" name="Chart 91">
          <a:extLst>
            <a:ext uri="{FF2B5EF4-FFF2-40B4-BE49-F238E27FC236}">
              <a16:creationId xmlns:a16="http://schemas.microsoft.com/office/drawing/2014/main" id="{D366CBEB-7851-4EEB-A799-3191F12544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464820</xdr:colOff>
      <xdr:row>14</xdr:row>
      <xdr:rowOff>53340</xdr:rowOff>
    </xdr:from>
    <xdr:to>
      <xdr:col>14</xdr:col>
      <xdr:colOff>198120</xdr:colOff>
      <xdr:row>15</xdr:row>
      <xdr:rowOff>76200</xdr:rowOff>
    </xdr:to>
    <xdr:sp macro="" textlink="">
      <xdr:nvSpPr>
        <xdr:cNvPr id="93" name="TextBox 92">
          <a:extLst>
            <a:ext uri="{FF2B5EF4-FFF2-40B4-BE49-F238E27FC236}">
              <a16:creationId xmlns:a16="http://schemas.microsoft.com/office/drawing/2014/main" id="{61013297-C324-4082-9630-01BEC2EDC805}"/>
            </a:ext>
          </a:extLst>
        </xdr:cNvPr>
        <xdr:cNvSpPr txBox="1"/>
      </xdr:nvSpPr>
      <xdr:spPr>
        <a:xfrm>
          <a:off x="7780020" y="261366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accent2"/>
              </a:solidFill>
              <a:latin typeface="+mn-lt"/>
              <a:ea typeface="+mn-ea"/>
              <a:cs typeface="+mn-cs"/>
            </a:rPr>
            <a:t>Regions</a:t>
          </a:r>
          <a:endParaRPr lang="en-US" sz="1100">
            <a:solidFill>
              <a:schemeClr val="accent2"/>
            </a:solidFill>
            <a:latin typeface="+mn-lt"/>
            <a:ea typeface="+mn-ea"/>
            <a:cs typeface="+mn-cs"/>
          </a:endParaRPr>
        </a:p>
      </xdr:txBody>
    </xdr:sp>
    <xdr:clientData/>
  </xdr:twoCellAnchor>
  <xdr:twoCellAnchor>
    <xdr:from>
      <xdr:col>12</xdr:col>
      <xdr:colOff>449580</xdr:colOff>
      <xdr:row>15</xdr:row>
      <xdr:rowOff>15240</xdr:rowOff>
    </xdr:from>
    <xdr:to>
      <xdr:col>16</xdr:col>
      <xdr:colOff>7620</xdr:colOff>
      <xdr:row>16</xdr:row>
      <xdr:rowOff>45720</xdr:rowOff>
    </xdr:to>
    <xdr:sp macro="" textlink="">
      <xdr:nvSpPr>
        <xdr:cNvPr id="94" name="TextBox 93">
          <a:extLst>
            <a:ext uri="{FF2B5EF4-FFF2-40B4-BE49-F238E27FC236}">
              <a16:creationId xmlns:a16="http://schemas.microsoft.com/office/drawing/2014/main" id="{A3749850-EC08-436F-BF0B-6B82F2703087}"/>
            </a:ext>
          </a:extLst>
        </xdr:cNvPr>
        <xdr:cNvSpPr txBox="1"/>
      </xdr:nvSpPr>
      <xdr:spPr>
        <a:xfrm>
          <a:off x="7764780" y="2758440"/>
          <a:ext cx="19964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aseline="0">
              <a:solidFill>
                <a:schemeClr val="tx1">
                  <a:lumMod val="50000"/>
                  <a:lumOff val="50000"/>
                </a:schemeClr>
              </a:solidFill>
              <a:latin typeface="+mn-lt"/>
              <a:ea typeface="+mn-ea"/>
              <a:cs typeface="+mn-cs"/>
            </a:rPr>
            <a:t>Employees per region</a:t>
          </a:r>
          <a:endParaRPr lang="en-US" sz="900">
            <a:solidFill>
              <a:schemeClr val="tx1">
                <a:lumMod val="50000"/>
                <a:lumOff val="50000"/>
              </a:schemeClr>
            </a:solidFill>
            <a:latin typeface="+mn-lt"/>
            <a:ea typeface="+mn-ea"/>
            <a:cs typeface="+mn-cs"/>
          </a:endParaRPr>
        </a:p>
      </xdr:txBody>
    </xdr:sp>
    <xdr:clientData/>
  </xdr:twoCellAnchor>
  <xdr:twoCellAnchor>
    <xdr:from>
      <xdr:col>12</xdr:col>
      <xdr:colOff>411480</xdr:colOff>
      <xdr:row>7</xdr:row>
      <xdr:rowOff>7620</xdr:rowOff>
    </xdr:from>
    <xdr:to>
      <xdr:col>16</xdr:col>
      <xdr:colOff>22860</xdr:colOff>
      <xdr:row>13</xdr:row>
      <xdr:rowOff>152400</xdr:rowOff>
    </xdr:to>
    <xdr:sp macro="" textlink="">
      <xdr:nvSpPr>
        <xdr:cNvPr id="95" name="Rectangle: Rounded Corners 94">
          <a:extLst>
            <a:ext uri="{FF2B5EF4-FFF2-40B4-BE49-F238E27FC236}">
              <a16:creationId xmlns:a16="http://schemas.microsoft.com/office/drawing/2014/main" id="{1E838F01-8357-47AD-8665-DFB394391F39}"/>
            </a:ext>
          </a:extLst>
        </xdr:cNvPr>
        <xdr:cNvSpPr/>
      </xdr:nvSpPr>
      <xdr:spPr>
        <a:xfrm>
          <a:off x="7726680" y="1287780"/>
          <a:ext cx="2049780" cy="1242060"/>
        </a:xfrm>
        <a:prstGeom prst="roundRect">
          <a:avLst>
            <a:gd name="adj" fmla="val 4922"/>
          </a:avLst>
        </a:prstGeom>
        <a:solidFill>
          <a:schemeClr val="tx1">
            <a:lumMod val="75000"/>
            <a:lumOff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12</xdr:col>
      <xdr:colOff>533400</xdr:colOff>
      <xdr:row>7</xdr:row>
      <xdr:rowOff>53340</xdr:rowOff>
    </xdr:from>
    <xdr:to>
      <xdr:col>15</xdr:col>
      <xdr:colOff>99060</xdr:colOff>
      <xdr:row>8</xdr:row>
      <xdr:rowOff>60960</xdr:rowOff>
    </xdr:to>
    <xdr:sp macro="" textlink="">
      <xdr:nvSpPr>
        <xdr:cNvPr id="96" name="TextBox 95">
          <a:extLst>
            <a:ext uri="{FF2B5EF4-FFF2-40B4-BE49-F238E27FC236}">
              <a16:creationId xmlns:a16="http://schemas.microsoft.com/office/drawing/2014/main" id="{86FB9344-09F4-4386-9599-597D9AB706F2}"/>
            </a:ext>
          </a:extLst>
        </xdr:cNvPr>
        <xdr:cNvSpPr txBox="1"/>
      </xdr:nvSpPr>
      <xdr:spPr>
        <a:xfrm>
          <a:off x="7848600" y="1333500"/>
          <a:ext cx="139446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accent2"/>
              </a:solidFill>
              <a:latin typeface="+mn-lt"/>
              <a:ea typeface="+mn-ea"/>
              <a:cs typeface="+mn-cs"/>
            </a:rPr>
            <a:t>Performance Rating</a:t>
          </a:r>
          <a:endParaRPr lang="en-US" sz="1100">
            <a:solidFill>
              <a:schemeClr val="accent2"/>
            </a:solidFill>
            <a:latin typeface="+mn-lt"/>
            <a:ea typeface="+mn-ea"/>
            <a:cs typeface="+mn-cs"/>
          </a:endParaRPr>
        </a:p>
      </xdr:txBody>
    </xdr:sp>
    <xdr:clientData/>
  </xdr:twoCellAnchor>
  <xdr:twoCellAnchor>
    <xdr:from>
      <xdr:col>12</xdr:col>
      <xdr:colOff>571500</xdr:colOff>
      <xdr:row>9</xdr:row>
      <xdr:rowOff>45720</xdr:rowOff>
    </xdr:from>
    <xdr:to>
      <xdr:col>14</xdr:col>
      <xdr:colOff>251460</xdr:colOff>
      <xdr:row>11</xdr:row>
      <xdr:rowOff>38100</xdr:rowOff>
    </xdr:to>
    <xdr:sp macro="" textlink="Pivot!B30">
      <xdr:nvSpPr>
        <xdr:cNvPr id="97" name="TextBox 96">
          <a:extLst>
            <a:ext uri="{FF2B5EF4-FFF2-40B4-BE49-F238E27FC236}">
              <a16:creationId xmlns:a16="http://schemas.microsoft.com/office/drawing/2014/main" id="{3CFA17E1-80B9-4AB7-9723-13D6DC1D51A0}"/>
            </a:ext>
          </a:extLst>
        </xdr:cNvPr>
        <xdr:cNvSpPr txBox="1"/>
      </xdr:nvSpPr>
      <xdr:spPr>
        <a:xfrm>
          <a:off x="7886700" y="1691640"/>
          <a:ext cx="8991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D426612-E10E-4810-8CE0-924C33CF94AE}" type="TxLink">
            <a:rPr lang="en-US" sz="2800" b="0" i="0" u="none" strike="noStrike">
              <a:solidFill>
                <a:schemeClr val="bg1"/>
              </a:solidFill>
              <a:latin typeface="Aptos Narrow"/>
            </a:rPr>
            <a:t>2.62</a:t>
          </a:fld>
          <a:endParaRPr lang="en-US" sz="4400" b="1">
            <a:solidFill>
              <a:schemeClr val="bg1"/>
            </a:solidFill>
          </a:endParaRPr>
        </a:p>
      </xdr:txBody>
    </xdr:sp>
    <xdr:clientData/>
  </xdr:twoCellAnchor>
  <xdr:twoCellAnchor>
    <xdr:from>
      <xdr:col>12</xdr:col>
      <xdr:colOff>533400</xdr:colOff>
      <xdr:row>8</xdr:row>
      <xdr:rowOff>7620</xdr:rowOff>
    </xdr:from>
    <xdr:to>
      <xdr:col>16</xdr:col>
      <xdr:colOff>91440</xdr:colOff>
      <xdr:row>9</xdr:row>
      <xdr:rowOff>38100</xdr:rowOff>
    </xdr:to>
    <xdr:sp macro="" textlink="">
      <xdr:nvSpPr>
        <xdr:cNvPr id="98" name="TextBox 97">
          <a:extLst>
            <a:ext uri="{FF2B5EF4-FFF2-40B4-BE49-F238E27FC236}">
              <a16:creationId xmlns:a16="http://schemas.microsoft.com/office/drawing/2014/main" id="{6DA43C43-0E10-43A8-9291-8E85624743AC}"/>
            </a:ext>
          </a:extLst>
        </xdr:cNvPr>
        <xdr:cNvSpPr txBox="1"/>
      </xdr:nvSpPr>
      <xdr:spPr>
        <a:xfrm>
          <a:off x="7848600" y="1470660"/>
          <a:ext cx="19964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900" baseline="0">
              <a:solidFill>
                <a:schemeClr val="tx1">
                  <a:lumMod val="50000"/>
                  <a:lumOff val="50000"/>
                </a:schemeClr>
              </a:solidFill>
              <a:latin typeface="+mn-lt"/>
              <a:ea typeface="+mn-ea"/>
              <a:cs typeface="+mn-cs"/>
            </a:rPr>
            <a:t>Average Performance Rating</a:t>
          </a:r>
          <a:endParaRPr lang="en-US" sz="900">
            <a:solidFill>
              <a:schemeClr val="tx1">
                <a:lumMod val="50000"/>
                <a:lumOff val="50000"/>
              </a:schemeClr>
            </a:solidFill>
            <a:latin typeface="+mn-lt"/>
            <a:ea typeface="+mn-ea"/>
            <a:cs typeface="+mn-cs"/>
          </a:endParaRPr>
        </a:p>
      </xdr:txBody>
    </xdr:sp>
    <xdr:clientData/>
  </xdr:twoCellAnchor>
  <xdr:twoCellAnchor>
    <xdr:from>
      <xdr:col>12</xdr:col>
      <xdr:colOff>556260</xdr:colOff>
      <xdr:row>11</xdr:row>
      <xdr:rowOff>0</xdr:rowOff>
    </xdr:from>
    <xdr:to>
      <xdr:col>15</xdr:col>
      <xdr:colOff>106680</xdr:colOff>
      <xdr:row>12</xdr:row>
      <xdr:rowOff>45720</xdr:rowOff>
    </xdr:to>
    <xdr:sp macro="" textlink="">
      <xdr:nvSpPr>
        <xdr:cNvPr id="99" name="TextBox 98">
          <a:extLst>
            <a:ext uri="{FF2B5EF4-FFF2-40B4-BE49-F238E27FC236}">
              <a16:creationId xmlns:a16="http://schemas.microsoft.com/office/drawing/2014/main" id="{13A533B1-85F8-441D-89B3-6210D50622A6}"/>
            </a:ext>
          </a:extLst>
        </xdr:cNvPr>
        <xdr:cNvSpPr txBox="1"/>
      </xdr:nvSpPr>
      <xdr:spPr>
        <a:xfrm>
          <a:off x="7871460" y="2011680"/>
          <a:ext cx="13792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bg1"/>
              </a:solidFill>
              <a:latin typeface="+mn-lt"/>
              <a:ea typeface="+mn-ea"/>
              <a:cs typeface="+mn-cs"/>
            </a:rPr>
            <a:t>Average Rating</a:t>
          </a:r>
          <a:endParaRPr lang="en-US" sz="1100">
            <a:solidFill>
              <a:schemeClr val="bg1"/>
            </a:solidFill>
            <a:latin typeface="+mn-lt"/>
            <a:ea typeface="+mn-ea"/>
            <a:cs typeface="+mn-cs"/>
          </a:endParaRPr>
        </a:p>
      </xdr:txBody>
    </xdr:sp>
    <xdr:clientData/>
  </xdr:twoCellAnchor>
  <xdr:twoCellAnchor editAs="oneCell">
    <xdr:from>
      <xdr:col>14</xdr:col>
      <xdr:colOff>480060</xdr:colOff>
      <xdr:row>9</xdr:row>
      <xdr:rowOff>0</xdr:rowOff>
    </xdr:from>
    <xdr:to>
      <xdr:col>15</xdr:col>
      <xdr:colOff>472440</xdr:colOff>
      <xdr:row>12</xdr:row>
      <xdr:rowOff>53340</xdr:rowOff>
    </xdr:to>
    <xdr:pic>
      <xdr:nvPicPr>
        <xdr:cNvPr id="101" name="Graphic 100" descr="Presentation with bar chart with solid fill">
          <a:extLst>
            <a:ext uri="{FF2B5EF4-FFF2-40B4-BE49-F238E27FC236}">
              <a16:creationId xmlns:a16="http://schemas.microsoft.com/office/drawing/2014/main" id="{45412DED-A56E-4ADA-C781-6901184AFFB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014460" y="1645920"/>
          <a:ext cx="601980" cy="601980"/>
        </a:xfrm>
        <a:prstGeom prst="rect">
          <a:avLst/>
        </a:prstGeom>
      </xdr:spPr>
    </xdr:pic>
    <xdr:clientData/>
  </xdr:twoCellAnchor>
  <xdr:twoCellAnchor>
    <xdr:from>
      <xdr:col>1</xdr:col>
      <xdr:colOff>129540</xdr:colOff>
      <xdr:row>2</xdr:row>
      <xdr:rowOff>144780</xdr:rowOff>
    </xdr:from>
    <xdr:to>
      <xdr:col>5</xdr:col>
      <xdr:colOff>601980</xdr:colOff>
      <xdr:row>4</xdr:row>
      <xdr:rowOff>106680</xdr:rowOff>
    </xdr:to>
    <xdr:sp macro="" textlink="">
      <xdr:nvSpPr>
        <xdr:cNvPr id="102" name="TextBox 101">
          <a:extLst>
            <a:ext uri="{FF2B5EF4-FFF2-40B4-BE49-F238E27FC236}">
              <a16:creationId xmlns:a16="http://schemas.microsoft.com/office/drawing/2014/main" id="{6714A1F3-2516-47E1-8092-2E544912F52D}"/>
            </a:ext>
          </a:extLst>
        </xdr:cNvPr>
        <xdr:cNvSpPr txBox="1"/>
      </xdr:nvSpPr>
      <xdr:spPr>
        <a:xfrm>
          <a:off x="739140" y="510540"/>
          <a:ext cx="29108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aseline="0">
              <a:solidFill>
                <a:schemeClr val="accent2"/>
              </a:solidFill>
              <a:latin typeface="+mn-lt"/>
              <a:ea typeface="+mn-ea"/>
              <a:cs typeface="+mn-cs"/>
            </a:rPr>
            <a:t>HR DASHBOARD</a:t>
          </a:r>
          <a:endParaRPr lang="en-US" sz="2400">
            <a:solidFill>
              <a:schemeClr val="accent2"/>
            </a:solidFill>
            <a:latin typeface="+mn-lt"/>
            <a:ea typeface="+mn-ea"/>
            <a:cs typeface="+mn-cs"/>
          </a:endParaRPr>
        </a:p>
      </xdr:txBody>
    </xdr:sp>
    <xdr:clientData/>
  </xdr:twoCellAnchor>
  <xdr:twoCellAnchor>
    <xdr:from>
      <xdr:col>1</xdr:col>
      <xdr:colOff>160020</xdr:colOff>
      <xdr:row>4</xdr:row>
      <xdr:rowOff>60960</xdr:rowOff>
    </xdr:from>
    <xdr:to>
      <xdr:col>5</xdr:col>
      <xdr:colOff>297180</xdr:colOff>
      <xdr:row>5</xdr:row>
      <xdr:rowOff>83820</xdr:rowOff>
    </xdr:to>
    <xdr:sp macro="" textlink="">
      <xdr:nvSpPr>
        <xdr:cNvPr id="103" name="TextBox 102">
          <a:extLst>
            <a:ext uri="{FF2B5EF4-FFF2-40B4-BE49-F238E27FC236}">
              <a16:creationId xmlns:a16="http://schemas.microsoft.com/office/drawing/2014/main" id="{F03489CC-BE5D-47A3-A877-3B84FADCF528}"/>
            </a:ext>
          </a:extLst>
        </xdr:cNvPr>
        <xdr:cNvSpPr txBox="1"/>
      </xdr:nvSpPr>
      <xdr:spPr>
        <a:xfrm>
          <a:off x="769620" y="792480"/>
          <a:ext cx="25755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aseline="0">
              <a:solidFill>
                <a:schemeClr val="tx1">
                  <a:lumMod val="50000"/>
                  <a:lumOff val="50000"/>
                </a:schemeClr>
              </a:solidFill>
              <a:latin typeface="+mn-lt"/>
              <a:ea typeface="+mn-ea"/>
              <a:cs typeface="+mn-cs"/>
            </a:rPr>
            <a:t>Analyze and monitor the HR department</a:t>
          </a:r>
          <a:endParaRPr lang="en-US" sz="1100">
            <a:solidFill>
              <a:schemeClr val="tx1">
                <a:lumMod val="50000"/>
                <a:lumOff val="50000"/>
              </a:schemeClr>
            </a:solidFill>
            <a:latin typeface="+mn-lt"/>
            <a:ea typeface="+mn-ea"/>
            <a:cs typeface="+mn-cs"/>
          </a:endParaRPr>
        </a:p>
      </xdr:txBody>
    </xdr:sp>
    <xdr:clientData/>
  </xdr:twoCellAnchor>
  <xdr:twoCellAnchor editAs="oneCell">
    <xdr:from>
      <xdr:col>0</xdr:col>
      <xdr:colOff>228600</xdr:colOff>
      <xdr:row>2</xdr:row>
      <xdr:rowOff>76200</xdr:rowOff>
    </xdr:from>
    <xdr:to>
      <xdr:col>1</xdr:col>
      <xdr:colOff>205740</xdr:colOff>
      <xdr:row>5</xdr:row>
      <xdr:rowOff>114300</xdr:rowOff>
    </xdr:to>
    <xdr:pic>
      <xdr:nvPicPr>
        <xdr:cNvPr id="105" name="Graphic 104" descr="Group of women with solid fill">
          <a:extLst>
            <a:ext uri="{FF2B5EF4-FFF2-40B4-BE49-F238E27FC236}">
              <a16:creationId xmlns:a16="http://schemas.microsoft.com/office/drawing/2014/main" id="{9A80C9CA-F434-8946-F09C-EDFA917F726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28600" y="441960"/>
          <a:ext cx="586740" cy="586740"/>
        </a:xfrm>
        <a:prstGeom prst="rect">
          <a:avLst/>
        </a:prstGeom>
      </xdr:spPr>
    </xdr:pic>
    <xdr:clientData/>
  </xdr:twoCellAnchor>
  <xdr:twoCellAnchor editAs="oneCell">
    <xdr:from>
      <xdr:col>5</xdr:col>
      <xdr:colOff>388620</xdr:colOff>
      <xdr:row>3</xdr:row>
      <xdr:rowOff>22860</xdr:rowOff>
    </xdr:from>
    <xdr:to>
      <xdr:col>8</xdr:col>
      <xdr:colOff>480060</xdr:colOff>
      <xdr:row>5</xdr:row>
      <xdr:rowOff>76200</xdr:rowOff>
    </xdr:to>
    <mc:AlternateContent xmlns:mc="http://schemas.openxmlformats.org/markup-compatibility/2006">
      <mc:Choice xmlns:a14="http://schemas.microsoft.com/office/drawing/2010/main" Requires="a14">
        <xdr:graphicFrame macro="">
          <xdr:nvGraphicFramePr>
            <xdr:cNvPr id="106" name="Gender">
              <a:extLst>
                <a:ext uri="{FF2B5EF4-FFF2-40B4-BE49-F238E27FC236}">
                  <a16:creationId xmlns:a16="http://schemas.microsoft.com/office/drawing/2014/main" id="{52F542AD-48A1-4562-B537-19751C5E5F8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436620" y="560742"/>
              <a:ext cx="1920240" cy="411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83820</xdr:colOff>
      <xdr:row>1</xdr:row>
      <xdr:rowOff>91441</xdr:rowOff>
    </xdr:from>
    <xdr:to>
      <xdr:col>14</xdr:col>
      <xdr:colOff>114300</xdr:colOff>
      <xdr:row>6</xdr:row>
      <xdr:rowOff>106680</xdr:rowOff>
    </xdr:to>
    <mc:AlternateContent xmlns:mc="http://schemas.openxmlformats.org/markup-compatibility/2006">
      <mc:Choice xmlns:a14="http://schemas.microsoft.com/office/drawing/2010/main" Requires="a14">
        <xdr:graphicFrame macro="">
          <xdr:nvGraphicFramePr>
            <xdr:cNvPr id="107" name="Department">
              <a:extLst>
                <a:ext uri="{FF2B5EF4-FFF2-40B4-BE49-F238E27FC236}">
                  <a16:creationId xmlns:a16="http://schemas.microsoft.com/office/drawing/2014/main" id="{C96FA181-21AA-4F1C-A19E-26D2FBA6A1C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5570220" y="270735"/>
              <a:ext cx="3078480" cy="9117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keola" refreshedDate="46148.064466898148" createdVersion="8" refreshedVersion="8" minRefreshableVersion="3" recordCount="50" xr:uid="{8ECC3F9F-761E-40B5-91E0-39111DEE63D9}">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ount="49">
        <s v="Lori Nguyen"/>
        <s v="Gary Garcia"/>
        <s v="Jeremy Nguyen"/>
        <s v="Kimberly Jones"/>
        <s v="Anthony Gates"/>
        <s v="Courtney Foster"/>
        <s v="Catherine Hall"/>
        <s v="Deanna Ball"/>
        <s v="Candace Nelson"/>
        <s v="Mandy Davis"/>
        <s v="Matthew Powell"/>
        <s v="Bruce Nelson"/>
        <s v="Dawn Cole"/>
        <s v="Tanner Morse"/>
        <s v="Jose Griffin"/>
        <s v="Daniel Hawkins"/>
        <s v="Elaine Mcclain"/>
        <s v="Thomas Kramer"/>
        <s v="Kevin Whitaker"/>
        <s v="Dustin Carter"/>
        <s v="Nicole Williamson"/>
        <s v="Matthew Knight"/>
        <s v="Donna Jones"/>
        <s v="Carolyn Bullock"/>
        <s v="Wendy Gomez"/>
        <s v="Michael Thomas"/>
        <s v="Kevin Bell"/>
        <s v="Richard Landry"/>
        <s v="George Hurley"/>
        <s v="Mark Lopez"/>
        <s v="Robert Williams"/>
        <s v="Mary Schmidt"/>
        <s v="Mary Martinez"/>
        <s v="Paul Hall"/>
        <s v="Samantha Foster"/>
        <s v="Timothy Aguilar"/>
        <s v="Charles Andrews"/>
        <s v="Veronica Nelson"/>
        <s v="Chris Sanchez"/>
        <s v="Cassie Galvan"/>
        <s v="Jessica Jones"/>
        <s v="Emily Walker"/>
        <s v="Vickie Lewis"/>
        <s v="Alexis Clark"/>
        <s v="Robert Davis"/>
        <s v="Daniel Brown MD"/>
        <s v="Anna Payne"/>
        <s v="Rhonda Pena"/>
        <s v="Nicole Gonzalez"/>
      </sharedItems>
    </cacheField>
    <cacheField name="Gender" numFmtId="0">
      <sharedItems count="2">
        <s v="Female"/>
        <s v="Male"/>
      </sharedItems>
    </cacheField>
    <cacheField name="Age" numFmtId="0">
      <sharedItems containsSemiMixedTypes="0" containsString="0" containsNumber="1" containsInteger="1" minValue="20" maxValue="60"/>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ount="50">
        <s v="Luis Reynolds"/>
        <s v="Ashley Simmons MD"/>
        <s v="Cassandra Duncan"/>
        <s v="Janet Harris"/>
        <s v="Mr. Frank Clay"/>
        <s v="Dorothy Price"/>
        <s v="Michele Sexton"/>
        <s v="Richard Schmidt"/>
        <s v="Teresa Pearson"/>
        <s v="Laura Hart"/>
        <s v="Andrea May"/>
        <s v="Casey Martin"/>
        <s v="Amber Allen"/>
        <s v="Adam Johnson"/>
        <s v="Nicole Dominguez"/>
        <s v="Andrew Best"/>
        <s v="Gabrielle Rodriguez"/>
        <s v="Allison Harvey"/>
        <s v="Tristan Mejia"/>
        <s v="Mary Welch"/>
        <s v="Douglas Miles"/>
        <s v="Jessica Fleming"/>
        <s v="Christine Lee"/>
        <s v="Mario Smith DVM"/>
        <s v="Joseph Francis"/>
        <s v="Sarah Young"/>
        <s v="Aaron Hart"/>
        <s v="Brian Boyd"/>
        <s v="Steven Krueger"/>
        <s v="Debra Williams"/>
        <s v="Karen Mitchell"/>
        <s v="Joseph Sanders"/>
        <s v="Shelly George"/>
        <s v="Nicole Houston"/>
        <s v="Kristin Shaffer"/>
        <s v="Joel Aguilar"/>
        <s v="Michael Wade"/>
        <s v="Jessica Walsh"/>
        <s v="Kelly Mack"/>
        <s v="John Conley"/>
        <s v="Aaron Baker"/>
        <s v="Christopher Bass"/>
        <s v="Sean Tucker PhD"/>
        <s v="Jacob Scott"/>
        <s v="Joel Park"/>
        <s v="Russell Marshall"/>
        <s v="James Holden"/>
        <s v="Thomas Murphy"/>
        <s v="Mark Abbott"/>
        <s v="Robin Lynch"/>
      </sharedItems>
    </cacheField>
    <cacheField name="Date of Hire" numFmtId="0">
      <sharedItems count="50">
        <s v="2019-03-15"/>
        <s v="2022-12-20"/>
        <s v="2022-08-10"/>
        <s v="2024-09-03"/>
        <s v="2019-03-14"/>
        <s v="2017-01-23"/>
        <s v="2024-08-17"/>
        <s v="2014-12-09"/>
        <s v="2021-06-28"/>
        <s v="2018-05-20"/>
        <s v="2017-02-13"/>
        <s v="2024-05-05"/>
        <s v="2022-04-19"/>
        <s v="2015-11-16"/>
        <s v="2023-09-09"/>
        <s v="2017-12-12"/>
        <s v="2017-03-10"/>
        <s v="2019-03-04"/>
        <s v="2022-11-20"/>
        <s v="2021-03-02"/>
        <s v="2021-08-01"/>
        <s v="2015-08-14"/>
        <s v="2015-10-21"/>
        <s v="2015-03-14"/>
        <s v="2024-05-22"/>
        <s v="2017-03-19"/>
        <s v="2021-09-15"/>
        <s v="2022-05-09"/>
        <s v="2017-06-22"/>
        <s v="2020-11-28"/>
        <s v="2015-08-30"/>
        <s v="2018-10-27"/>
        <s v="2018-08-26"/>
        <s v="2023-07-24"/>
        <s v="2018-07-09"/>
        <s v="2016-12-21"/>
        <s v="2019-06-27"/>
        <s v="2021-08-27"/>
        <s v="2017-05-28"/>
        <s v="2022-01-30"/>
        <s v="2017-04-20"/>
        <s v="2019-07-22"/>
        <s v="2018-11-29"/>
        <s v="2022-11-14"/>
        <s v="2016-02-23"/>
        <s v="2018-05-18"/>
        <s v="2024-03-09"/>
        <s v="2024-03-27"/>
        <s v="2019-12-23"/>
        <s v="2016-08-25"/>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ount="4">
        <s v="C"/>
        <s v="B"/>
        <s v="D"/>
        <s v="A"/>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ount="3">
        <s v="Leadership Training"/>
        <s v="Excel Workshop"/>
        <s v="None"/>
      </sharedItems>
    </cacheField>
    <cacheField name="Skills" numFmtId="0">
      <sharedItems count="5">
        <s v="Design"/>
        <s v="Management"/>
        <s v="Python"/>
        <s v="Communication"/>
        <s v="Excel"/>
      </sharedItems>
    </cacheField>
    <cacheField name="Certifications" numFmtId="0">
      <sharedItems count="3">
        <s v="Certified Professional"/>
        <s v="Advanced Training"/>
        <s v="None"/>
      </sharedItems>
    </cacheField>
  </cacheFields>
  <extLst>
    <ext xmlns:x14="http://schemas.microsoft.com/office/spreadsheetml/2009/9/main" uri="{725AE2AE-9491-48be-B2B4-4EB974FC3084}">
      <x14:pivotCacheDefinition pivotCacheId="1427754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4294"/>
    <x v="0"/>
    <x v="0"/>
    <n v="25"/>
    <x v="0"/>
    <x v="0"/>
    <x v="0"/>
    <x v="0"/>
    <x v="0"/>
    <x v="0"/>
    <x v="0"/>
    <x v="0"/>
    <n v="53700"/>
    <x v="0"/>
    <n v="1463"/>
    <s v="Health"/>
    <n v="1"/>
    <n v="1"/>
    <x v="0"/>
    <x v="0"/>
    <x v="0"/>
  </r>
  <r>
    <n v="9116"/>
    <x v="1"/>
    <x v="1"/>
    <n v="27"/>
    <x v="1"/>
    <x v="1"/>
    <x v="1"/>
    <x v="1"/>
    <x v="1"/>
    <x v="1"/>
    <x v="0"/>
    <x v="1"/>
    <n v="91091"/>
    <x v="1"/>
    <n v="1024"/>
    <s v="None"/>
    <n v="19"/>
    <n v="4"/>
    <x v="1"/>
    <x v="0"/>
    <x v="0"/>
  </r>
  <r>
    <n v="5120"/>
    <x v="2"/>
    <x v="1"/>
    <n v="34"/>
    <x v="1"/>
    <x v="2"/>
    <x v="2"/>
    <x v="2"/>
    <x v="2"/>
    <x v="2"/>
    <x v="0"/>
    <x v="2"/>
    <n v="57538"/>
    <x v="2"/>
    <n v="1674"/>
    <s v="None"/>
    <n v="8"/>
    <n v="1"/>
    <x v="2"/>
    <x v="1"/>
    <x v="1"/>
  </r>
  <r>
    <n v="8071"/>
    <x v="3"/>
    <x v="0"/>
    <n v="41"/>
    <x v="2"/>
    <x v="2"/>
    <x v="0"/>
    <x v="3"/>
    <x v="3"/>
    <x v="3"/>
    <x v="1"/>
    <x v="0"/>
    <n v="62993"/>
    <x v="3"/>
    <n v="2695"/>
    <s v="Health + Dental"/>
    <n v="0"/>
    <n v="2"/>
    <x v="2"/>
    <x v="2"/>
    <x v="2"/>
  </r>
  <r>
    <n v="9351"/>
    <x v="4"/>
    <x v="1"/>
    <n v="56"/>
    <x v="3"/>
    <x v="0"/>
    <x v="0"/>
    <x v="2"/>
    <x v="4"/>
    <x v="4"/>
    <x v="1"/>
    <x v="1"/>
    <n v="45773"/>
    <x v="3"/>
    <n v="8776"/>
    <s v="Health"/>
    <n v="16"/>
    <n v="4"/>
    <x v="0"/>
    <x v="2"/>
    <x v="2"/>
  </r>
  <r>
    <n v="2873"/>
    <x v="5"/>
    <x v="0"/>
    <n v="28"/>
    <x v="1"/>
    <x v="2"/>
    <x v="3"/>
    <x v="2"/>
    <x v="5"/>
    <x v="5"/>
    <x v="0"/>
    <x v="1"/>
    <n v="96249"/>
    <x v="0"/>
    <n v="4826"/>
    <s v="Health + Dental"/>
    <n v="7"/>
    <n v="3"/>
    <x v="0"/>
    <x v="3"/>
    <x v="0"/>
  </r>
  <r>
    <n v="3540"/>
    <x v="6"/>
    <x v="0"/>
    <n v="20"/>
    <x v="0"/>
    <x v="1"/>
    <x v="2"/>
    <x v="2"/>
    <x v="6"/>
    <x v="6"/>
    <x v="0"/>
    <x v="2"/>
    <n v="61596"/>
    <x v="0"/>
    <n v="8818"/>
    <s v="Health + Dental"/>
    <n v="4"/>
    <n v="2"/>
    <x v="0"/>
    <x v="1"/>
    <x v="2"/>
  </r>
  <r>
    <n v="3653"/>
    <x v="7"/>
    <x v="0"/>
    <n v="58"/>
    <x v="3"/>
    <x v="3"/>
    <x v="1"/>
    <x v="4"/>
    <x v="7"/>
    <x v="7"/>
    <x v="0"/>
    <x v="2"/>
    <n v="97869"/>
    <x v="3"/>
    <n v="1966"/>
    <s v="Health"/>
    <n v="10"/>
    <n v="1"/>
    <x v="0"/>
    <x v="0"/>
    <x v="0"/>
  </r>
  <r>
    <n v="5587"/>
    <x v="8"/>
    <x v="0"/>
    <n v="44"/>
    <x v="2"/>
    <x v="3"/>
    <x v="2"/>
    <x v="2"/>
    <x v="8"/>
    <x v="8"/>
    <x v="0"/>
    <x v="0"/>
    <n v="81235"/>
    <x v="3"/>
    <n v="6553"/>
    <s v="None"/>
    <n v="16"/>
    <n v="2"/>
    <x v="2"/>
    <x v="1"/>
    <x v="0"/>
  </r>
  <r>
    <n v="9554"/>
    <x v="9"/>
    <x v="0"/>
    <n v="29"/>
    <x v="1"/>
    <x v="1"/>
    <x v="2"/>
    <x v="3"/>
    <x v="9"/>
    <x v="9"/>
    <x v="0"/>
    <x v="1"/>
    <n v="87852"/>
    <x v="3"/>
    <n v="4980"/>
    <s v="Health + Dental"/>
    <n v="19"/>
    <n v="3"/>
    <x v="2"/>
    <x v="2"/>
    <x v="0"/>
  </r>
  <r>
    <n v="6213"/>
    <x v="10"/>
    <x v="1"/>
    <n v="23"/>
    <x v="0"/>
    <x v="3"/>
    <x v="0"/>
    <x v="2"/>
    <x v="10"/>
    <x v="10"/>
    <x v="1"/>
    <x v="1"/>
    <n v="59359"/>
    <x v="3"/>
    <n v="9449"/>
    <s v="Health + Dental"/>
    <n v="20"/>
    <n v="3"/>
    <x v="2"/>
    <x v="1"/>
    <x v="2"/>
  </r>
  <r>
    <n v="9105"/>
    <x v="11"/>
    <x v="1"/>
    <n v="30"/>
    <x v="1"/>
    <x v="0"/>
    <x v="1"/>
    <x v="0"/>
    <x v="11"/>
    <x v="11"/>
    <x v="1"/>
    <x v="2"/>
    <n v="81225"/>
    <x v="2"/>
    <n v="6202"/>
    <s v="Health + Dental"/>
    <n v="2"/>
    <n v="2"/>
    <x v="1"/>
    <x v="4"/>
    <x v="0"/>
  </r>
  <r>
    <n v="9508"/>
    <x v="12"/>
    <x v="0"/>
    <n v="49"/>
    <x v="4"/>
    <x v="1"/>
    <x v="0"/>
    <x v="0"/>
    <x v="12"/>
    <x v="12"/>
    <x v="1"/>
    <x v="0"/>
    <n v="32788"/>
    <x v="2"/>
    <n v="4396"/>
    <s v="Health"/>
    <n v="13"/>
    <n v="5"/>
    <x v="2"/>
    <x v="3"/>
    <x v="1"/>
  </r>
  <r>
    <n v="2436"/>
    <x v="13"/>
    <x v="1"/>
    <n v="60"/>
    <x v="3"/>
    <x v="4"/>
    <x v="0"/>
    <x v="3"/>
    <x v="13"/>
    <x v="13"/>
    <x v="1"/>
    <x v="2"/>
    <n v="70452"/>
    <x v="2"/>
    <n v="9911"/>
    <s v="None"/>
    <n v="2"/>
    <n v="1"/>
    <x v="2"/>
    <x v="3"/>
    <x v="0"/>
  </r>
  <r>
    <n v="4441"/>
    <x v="14"/>
    <x v="1"/>
    <n v="46"/>
    <x v="4"/>
    <x v="1"/>
    <x v="3"/>
    <x v="0"/>
    <x v="14"/>
    <x v="14"/>
    <x v="0"/>
    <x v="1"/>
    <n v="33045"/>
    <x v="1"/>
    <n v="1456"/>
    <s v="None"/>
    <n v="16"/>
    <n v="3"/>
    <x v="1"/>
    <x v="3"/>
    <x v="2"/>
  </r>
  <r>
    <n v="5827"/>
    <x v="15"/>
    <x v="1"/>
    <n v="57"/>
    <x v="3"/>
    <x v="2"/>
    <x v="3"/>
    <x v="1"/>
    <x v="15"/>
    <x v="15"/>
    <x v="2"/>
    <x v="2"/>
    <n v="96429"/>
    <x v="0"/>
    <n v="4740"/>
    <s v="None"/>
    <n v="8"/>
    <n v="1"/>
    <x v="1"/>
    <x v="2"/>
    <x v="2"/>
  </r>
  <r>
    <n v="5184"/>
    <x v="16"/>
    <x v="0"/>
    <n v="24"/>
    <x v="0"/>
    <x v="1"/>
    <x v="2"/>
    <x v="2"/>
    <x v="16"/>
    <x v="16"/>
    <x v="2"/>
    <x v="2"/>
    <n v="33183"/>
    <x v="3"/>
    <n v="8114"/>
    <s v="None"/>
    <n v="4"/>
    <n v="2"/>
    <x v="1"/>
    <x v="4"/>
    <x v="1"/>
  </r>
  <r>
    <n v="5874"/>
    <x v="3"/>
    <x v="0"/>
    <n v="35"/>
    <x v="1"/>
    <x v="4"/>
    <x v="3"/>
    <x v="0"/>
    <x v="17"/>
    <x v="17"/>
    <x v="2"/>
    <x v="0"/>
    <n v="75065"/>
    <x v="0"/>
    <n v="7123"/>
    <s v="None"/>
    <n v="20"/>
    <n v="2"/>
    <x v="2"/>
    <x v="0"/>
    <x v="1"/>
  </r>
  <r>
    <n v="9834"/>
    <x v="17"/>
    <x v="1"/>
    <n v="41"/>
    <x v="2"/>
    <x v="1"/>
    <x v="1"/>
    <x v="4"/>
    <x v="18"/>
    <x v="18"/>
    <x v="0"/>
    <x v="2"/>
    <n v="32877"/>
    <x v="0"/>
    <n v="6432"/>
    <s v="Health"/>
    <n v="11"/>
    <n v="1"/>
    <x v="2"/>
    <x v="0"/>
    <x v="2"/>
  </r>
  <r>
    <n v="5096"/>
    <x v="18"/>
    <x v="1"/>
    <n v="36"/>
    <x v="2"/>
    <x v="1"/>
    <x v="4"/>
    <x v="3"/>
    <x v="19"/>
    <x v="19"/>
    <x v="0"/>
    <x v="1"/>
    <n v="46811"/>
    <x v="2"/>
    <n v="1567"/>
    <s v="None"/>
    <n v="7"/>
    <n v="3"/>
    <x v="1"/>
    <x v="0"/>
    <x v="1"/>
  </r>
  <r>
    <n v="2263"/>
    <x v="19"/>
    <x v="1"/>
    <n v="31"/>
    <x v="1"/>
    <x v="3"/>
    <x v="2"/>
    <x v="1"/>
    <x v="20"/>
    <x v="20"/>
    <x v="1"/>
    <x v="1"/>
    <n v="87538"/>
    <x v="0"/>
    <n v="3588"/>
    <s v="Health + Dental"/>
    <n v="11"/>
    <n v="5"/>
    <x v="1"/>
    <x v="2"/>
    <x v="2"/>
  </r>
  <r>
    <n v="6505"/>
    <x v="20"/>
    <x v="0"/>
    <n v="28"/>
    <x v="1"/>
    <x v="0"/>
    <x v="1"/>
    <x v="4"/>
    <x v="21"/>
    <x v="21"/>
    <x v="0"/>
    <x v="1"/>
    <n v="73002"/>
    <x v="0"/>
    <n v="6296"/>
    <s v="Health"/>
    <n v="2"/>
    <n v="5"/>
    <x v="1"/>
    <x v="1"/>
    <x v="0"/>
  </r>
  <r>
    <n v="8626"/>
    <x v="21"/>
    <x v="1"/>
    <n v="37"/>
    <x v="2"/>
    <x v="3"/>
    <x v="1"/>
    <x v="3"/>
    <x v="22"/>
    <x v="22"/>
    <x v="2"/>
    <x v="2"/>
    <n v="41653"/>
    <x v="2"/>
    <n v="9236"/>
    <s v="None"/>
    <n v="13"/>
    <n v="1"/>
    <x v="1"/>
    <x v="0"/>
    <x v="2"/>
  </r>
  <r>
    <n v="5979"/>
    <x v="22"/>
    <x v="0"/>
    <n v="31"/>
    <x v="1"/>
    <x v="0"/>
    <x v="0"/>
    <x v="2"/>
    <x v="23"/>
    <x v="23"/>
    <x v="1"/>
    <x v="1"/>
    <n v="67582"/>
    <x v="3"/>
    <n v="1375"/>
    <s v="Health"/>
    <n v="20"/>
    <n v="3"/>
    <x v="1"/>
    <x v="1"/>
    <x v="2"/>
  </r>
  <r>
    <n v="3104"/>
    <x v="23"/>
    <x v="0"/>
    <n v="23"/>
    <x v="0"/>
    <x v="3"/>
    <x v="1"/>
    <x v="1"/>
    <x v="24"/>
    <x v="24"/>
    <x v="2"/>
    <x v="1"/>
    <n v="37351"/>
    <x v="2"/>
    <n v="7858"/>
    <s v="Health + Dental"/>
    <n v="18"/>
    <n v="2"/>
    <x v="0"/>
    <x v="1"/>
    <x v="1"/>
  </r>
  <r>
    <n v="8967"/>
    <x v="24"/>
    <x v="0"/>
    <n v="48"/>
    <x v="4"/>
    <x v="4"/>
    <x v="2"/>
    <x v="0"/>
    <x v="25"/>
    <x v="25"/>
    <x v="0"/>
    <x v="1"/>
    <n v="36721"/>
    <x v="1"/>
    <n v="8820"/>
    <s v="Health + Dental"/>
    <n v="0"/>
    <n v="2"/>
    <x v="1"/>
    <x v="1"/>
    <x v="0"/>
  </r>
  <r>
    <n v="5087"/>
    <x v="25"/>
    <x v="1"/>
    <n v="28"/>
    <x v="1"/>
    <x v="2"/>
    <x v="4"/>
    <x v="0"/>
    <x v="26"/>
    <x v="26"/>
    <x v="1"/>
    <x v="2"/>
    <n v="46326"/>
    <x v="1"/>
    <n v="9189"/>
    <s v="Health + Dental"/>
    <n v="8"/>
    <n v="4"/>
    <x v="0"/>
    <x v="3"/>
    <x v="1"/>
  </r>
  <r>
    <n v="3358"/>
    <x v="26"/>
    <x v="1"/>
    <n v="30"/>
    <x v="1"/>
    <x v="1"/>
    <x v="3"/>
    <x v="1"/>
    <x v="27"/>
    <x v="27"/>
    <x v="0"/>
    <x v="0"/>
    <n v="59007"/>
    <x v="0"/>
    <n v="3380"/>
    <s v="Health"/>
    <n v="17"/>
    <n v="3"/>
    <x v="2"/>
    <x v="4"/>
    <x v="0"/>
  </r>
  <r>
    <n v="8256"/>
    <x v="27"/>
    <x v="1"/>
    <n v="46"/>
    <x v="4"/>
    <x v="3"/>
    <x v="0"/>
    <x v="3"/>
    <x v="28"/>
    <x v="28"/>
    <x v="0"/>
    <x v="1"/>
    <n v="52020"/>
    <x v="1"/>
    <n v="9585"/>
    <s v="Health + Dental"/>
    <n v="0"/>
    <n v="4"/>
    <x v="1"/>
    <x v="4"/>
    <x v="2"/>
  </r>
  <r>
    <n v="5763"/>
    <x v="28"/>
    <x v="1"/>
    <n v="44"/>
    <x v="2"/>
    <x v="1"/>
    <x v="2"/>
    <x v="1"/>
    <x v="29"/>
    <x v="29"/>
    <x v="2"/>
    <x v="1"/>
    <n v="98961"/>
    <x v="2"/>
    <n v="2688"/>
    <s v="Health"/>
    <n v="2"/>
    <n v="5"/>
    <x v="1"/>
    <x v="4"/>
    <x v="0"/>
  </r>
  <r>
    <n v="6838"/>
    <x v="29"/>
    <x v="1"/>
    <n v="45"/>
    <x v="2"/>
    <x v="2"/>
    <x v="3"/>
    <x v="2"/>
    <x v="30"/>
    <x v="30"/>
    <x v="2"/>
    <x v="1"/>
    <n v="81943"/>
    <x v="0"/>
    <n v="2255"/>
    <s v="Health"/>
    <n v="18"/>
    <n v="2"/>
    <x v="2"/>
    <x v="2"/>
    <x v="0"/>
  </r>
  <r>
    <n v="9544"/>
    <x v="30"/>
    <x v="1"/>
    <n v="52"/>
    <x v="4"/>
    <x v="4"/>
    <x v="2"/>
    <x v="1"/>
    <x v="31"/>
    <x v="31"/>
    <x v="2"/>
    <x v="1"/>
    <n v="47627"/>
    <x v="0"/>
    <n v="1221"/>
    <s v="None"/>
    <n v="4"/>
    <n v="3"/>
    <x v="2"/>
    <x v="1"/>
    <x v="2"/>
  </r>
  <r>
    <n v="8012"/>
    <x v="31"/>
    <x v="0"/>
    <n v="52"/>
    <x v="4"/>
    <x v="0"/>
    <x v="0"/>
    <x v="4"/>
    <x v="32"/>
    <x v="32"/>
    <x v="2"/>
    <x v="1"/>
    <n v="56162"/>
    <x v="2"/>
    <n v="6560"/>
    <s v="Health + Dental"/>
    <n v="9"/>
    <n v="4"/>
    <x v="1"/>
    <x v="3"/>
    <x v="2"/>
  </r>
  <r>
    <n v="9374"/>
    <x v="32"/>
    <x v="0"/>
    <n v="42"/>
    <x v="2"/>
    <x v="1"/>
    <x v="2"/>
    <x v="2"/>
    <x v="33"/>
    <x v="33"/>
    <x v="1"/>
    <x v="2"/>
    <n v="95734"/>
    <x v="0"/>
    <n v="4854"/>
    <s v="Health"/>
    <n v="13"/>
    <n v="2"/>
    <x v="0"/>
    <x v="0"/>
    <x v="0"/>
  </r>
  <r>
    <n v="3487"/>
    <x v="33"/>
    <x v="1"/>
    <n v="58"/>
    <x v="3"/>
    <x v="1"/>
    <x v="1"/>
    <x v="3"/>
    <x v="34"/>
    <x v="34"/>
    <x v="1"/>
    <x v="2"/>
    <n v="74789"/>
    <x v="0"/>
    <n v="8101"/>
    <s v="Health + Dental"/>
    <n v="14"/>
    <n v="5"/>
    <x v="1"/>
    <x v="2"/>
    <x v="2"/>
  </r>
  <r>
    <n v="8445"/>
    <x v="34"/>
    <x v="0"/>
    <n v="24"/>
    <x v="0"/>
    <x v="4"/>
    <x v="0"/>
    <x v="3"/>
    <x v="35"/>
    <x v="35"/>
    <x v="0"/>
    <x v="2"/>
    <n v="30137"/>
    <x v="1"/>
    <n v="4031"/>
    <s v="None"/>
    <n v="5"/>
    <n v="3"/>
    <x v="2"/>
    <x v="1"/>
    <x v="0"/>
  </r>
  <r>
    <n v="1550"/>
    <x v="35"/>
    <x v="1"/>
    <n v="21"/>
    <x v="0"/>
    <x v="1"/>
    <x v="0"/>
    <x v="0"/>
    <x v="36"/>
    <x v="36"/>
    <x v="0"/>
    <x v="2"/>
    <n v="95510"/>
    <x v="0"/>
    <n v="6811"/>
    <s v="Health"/>
    <n v="18"/>
    <n v="4"/>
    <x v="1"/>
    <x v="4"/>
    <x v="0"/>
  </r>
  <r>
    <n v="9968"/>
    <x v="36"/>
    <x v="1"/>
    <n v="58"/>
    <x v="3"/>
    <x v="1"/>
    <x v="3"/>
    <x v="0"/>
    <x v="37"/>
    <x v="37"/>
    <x v="1"/>
    <x v="0"/>
    <n v="80325"/>
    <x v="1"/>
    <n v="6230"/>
    <s v="Health"/>
    <n v="5"/>
    <n v="4"/>
    <x v="2"/>
    <x v="2"/>
    <x v="1"/>
  </r>
  <r>
    <n v="8029"/>
    <x v="37"/>
    <x v="0"/>
    <n v="57"/>
    <x v="3"/>
    <x v="3"/>
    <x v="4"/>
    <x v="4"/>
    <x v="38"/>
    <x v="38"/>
    <x v="2"/>
    <x v="1"/>
    <n v="34109"/>
    <x v="1"/>
    <n v="9232"/>
    <s v="Health"/>
    <n v="13"/>
    <n v="3"/>
    <x v="0"/>
    <x v="0"/>
    <x v="0"/>
  </r>
  <r>
    <n v="8847"/>
    <x v="38"/>
    <x v="1"/>
    <n v="41"/>
    <x v="2"/>
    <x v="3"/>
    <x v="3"/>
    <x v="0"/>
    <x v="39"/>
    <x v="39"/>
    <x v="2"/>
    <x v="2"/>
    <n v="73330"/>
    <x v="0"/>
    <n v="2276"/>
    <s v="Health + Dental"/>
    <n v="5"/>
    <n v="1"/>
    <x v="2"/>
    <x v="1"/>
    <x v="1"/>
  </r>
  <r>
    <n v="1955"/>
    <x v="39"/>
    <x v="0"/>
    <n v="58"/>
    <x v="3"/>
    <x v="2"/>
    <x v="2"/>
    <x v="1"/>
    <x v="40"/>
    <x v="40"/>
    <x v="1"/>
    <x v="2"/>
    <n v="46567"/>
    <x v="3"/>
    <n v="2825"/>
    <s v="Health"/>
    <n v="15"/>
    <n v="3"/>
    <x v="2"/>
    <x v="4"/>
    <x v="1"/>
  </r>
  <r>
    <n v="4522"/>
    <x v="40"/>
    <x v="0"/>
    <n v="36"/>
    <x v="2"/>
    <x v="0"/>
    <x v="4"/>
    <x v="0"/>
    <x v="41"/>
    <x v="41"/>
    <x v="1"/>
    <x v="1"/>
    <n v="39795"/>
    <x v="3"/>
    <n v="1670"/>
    <s v="None"/>
    <n v="0"/>
    <n v="2"/>
    <x v="1"/>
    <x v="3"/>
    <x v="2"/>
  </r>
  <r>
    <n v="3078"/>
    <x v="41"/>
    <x v="0"/>
    <n v="21"/>
    <x v="0"/>
    <x v="0"/>
    <x v="0"/>
    <x v="4"/>
    <x v="42"/>
    <x v="42"/>
    <x v="1"/>
    <x v="2"/>
    <n v="59506"/>
    <x v="3"/>
    <n v="4428"/>
    <s v="Health + Dental"/>
    <n v="0"/>
    <n v="1"/>
    <x v="2"/>
    <x v="3"/>
    <x v="0"/>
  </r>
  <r>
    <n v="6357"/>
    <x v="42"/>
    <x v="0"/>
    <n v="46"/>
    <x v="4"/>
    <x v="2"/>
    <x v="1"/>
    <x v="4"/>
    <x v="43"/>
    <x v="43"/>
    <x v="1"/>
    <x v="2"/>
    <n v="49058"/>
    <x v="1"/>
    <n v="4396"/>
    <s v="None"/>
    <n v="5"/>
    <n v="1"/>
    <x v="2"/>
    <x v="3"/>
    <x v="2"/>
  </r>
  <r>
    <n v="7951"/>
    <x v="43"/>
    <x v="0"/>
    <n v="36"/>
    <x v="2"/>
    <x v="3"/>
    <x v="2"/>
    <x v="4"/>
    <x v="44"/>
    <x v="44"/>
    <x v="1"/>
    <x v="0"/>
    <n v="98612"/>
    <x v="3"/>
    <n v="1168"/>
    <s v="None"/>
    <n v="9"/>
    <n v="2"/>
    <x v="1"/>
    <x v="0"/>
    <x v="0"/>
  </r>
  <r>
    <n v="9228"/>
    <x v="44"/>
    <x v="1"/>
    <n v="41"/>
    <x v="2"/>
    <x v="4"/>
    <x v="3"/>
    <x v="1"/>
    <x v="45"/>
    <x v="45"/>
    <x v="2"/>
    <x v="1"/>
    <n v="38201"/>
    <x v="3"/>
    <n v="7111"/>
    <s v="Health"/>
    <n v="8"/>
    <n v="4"/>
    <x v="0"/>
    <x v="3"/>
    <x v="2"/>
  </r>
  <r>
    <n v="8988"/>
    <x v="45"/>
    <x v="1"/>
    <n v="25"/>
    <x v="0"/>
    <x v="0"/>
    <x v="2"/>
    <x v="2"/>
    <x v="46"/>
    <x v="46"/>
    <x v="2"/>
    <x v="1"/>
    <n v="92919"/>
    <x v="2"/>
    <n v="9497"/>
    <s v="Health"/>
    <n v="7"/>
    <n v="2"/>
    <x v="2"/>
    <x v="3"/>
    <x v="1"/>
  </r>
  <r>
    <n v="1952"/>
    <x v="46"/>
    <x v="0"/>
    <n v="29"/>
    <x v="1"/>
    <x v="4"/>
    <x v="0"/>
    <x v="1"/>
    <x v="47"/>
    <x v="47"/>
    <x v="0"/>
    <x v="2"/>
    <n v="45188"/>
    <x v="3"/>
    <n v="9591"/>
    <s v="Health + Dental"/>
    <n v="18"/>
    <n v="3"/>
    <x v="0"/>
    <x v="3"/>
    <x v="2"/>
  </r>
  <r>
    <n v="5760"/>
    <x v="47"/>
    <x v="0"/>
    <n v="59"/>
    <x v="3"/>
    <x v="2"/>
    <x v="1"/>
    <x v="0"/>
    <x v="48"/>
    <x v="48"/>
    <x v="0"/>
    <x v="1"/>
    <n v="34927"/>
    <x v="2"/>
    <n v="6996"/>
    <s v="Health + Dental"/>
    <n v="16"/>
    <n v="1"/>
    <x v="1"/>
    <x v="0"/>
    <x v="0"/>
  </r>
  <r>
    <n v="5742"/>
    <x v="48"/>
    <x v="0"/>
    <n v="27"/>
    <x v="1"/>
    <x v="0"/>
    <x v="2"/>
    <x v="3"/>
    <x v="49"/>
    <x v="49"/>
    <x v="0"/>
    <x v="1"/>
    <n v="33183"/>
    <x v="3"/>
    <n v="1659"/>
    <s v="None"/>
    <n v="11"/>
    <n v="1"/>
    <x v="0"/>
    <x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01098A-8020-426A-BE3A-CEC9DCC1BE51}"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9:B30" firstHeaderRow="1" firstDataRow="1" firstDataCol="0"/>
  <pivotFields count="21">
    <pivotField showAll="0"/>
    <pivotField showAll="0"/>
    <pivotField showAll="0"/>
    <pivotField showAll="0"/>
    <pivotField showAll="0"/>
    <pivotField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items count="51">
        <item x="40"/>
        <item x="26"/>
        <item x="13"/>
        <item x="17"/>
        <item x="12"/>
        <item x="10"/>
        <item x="15"/>
        <item x="1"/>
        <item x="27"/>
        <item x="11"/>
        <item x="2"/>
        <item x="22"/>
        <item x="41"/>
        <item x="29"/>
        <item x="5"/>
        <item x="20"/>
        <item x="16"/>
        <item x="43"/>
        <item x="46"/>
        <item x="3"/>
        <item x="21"/>
        <item x="37"/>
        <item x="35"/>
        <item x="44"/>
        <item x="39"/>
        <item x="24"/>
        <item x="31"/>
        <item x="30"/>
        <item x="38"/>
        <item x="34"/>
        <item x="9"/>
        <item x="0"/>
        <item x="23"/>
        <item x="48"/>
        <item x="19"/>
        <item x="36"/>
        <item x="6"/>
        <item x="4"/>
        <item x="14"/>
        <item x="33"/>
        <item x="7"/>
        <item x="49"/>
        <item x="45"/>
        <item x="25"/>
        <item x="42"/>
        <item x="32"/>
        <item x="28"/>
        <item x="8"/>
        <item x="47"/>
        <item x="18"/>
        <item t="default"/>
      </items>
    </pivotField>
    <pivotField showAll="0">
      <items count="51">
        <item x="7"/>
        <item x="23"/>
        <item x="21"/>
        <item x="30"/>
        <item x="22"/>
        <item x="13"/>
        <item x="44"/>
        <item x="49"/>
        <item x="35"/>
        <item x="5"/>
        <item x="10"/>
        <item x="16"/>
        <item x="25"/>
        <item x="40"/>
        <item x="38"/>
        <item x="28"/>
        <item x="15"/>
        <item x="45"/>
        <item x="9"/>
        <item x="34"/>
        <item x="32"/>
        <item x="31"/>
        <item x="42"/>
        <item x="17"/>
        <item x="4"/>
        <item x="0"/>
        <item x="36"/>
        <item x="41"/>
        <item x="48"/>
        <item x="29"/>
        <item x="19"/>
        <item x="8"/>
        <item x="20"/>
        <item x="37"/>
        <item x="26"/>
        <item x="39"/>
        <item x="12"/>
        <item x="27"/>
        <item x="2"/>
        <item x="43"/>
        <item x="18"/>
        <item x="1"/>
        <item x="33"/>
        <item x="14"/>
        <item x="46"/>
        <item x="47"/>
        <item x="11"/>
        <item x="24"/>
        <item x="6"/>
        <item x="3"/>
        <item t="default"/>
      </items>
    </pivotField>
    <pivotField showAll="0">
      <items count="4">
        <item x="1"/>
        <item x="0"/>
        <item x="2"/>
        <item t="default"/>
      </items>
    </pivotField>
    <pivotField showAll="0">
      <items count="4">
        <item x="1"/>
        <item x="0"/>
        <item x="2"/>
        <item t="default"/>
      </items>
    </pivotField>
    <pivotField showAll="0"/>
    <pivotField showAll="0">
      <items count="5">
        <item x="3"/>
        <item x="1"/>
        <item x="0"/>
        <item x="2"/>
        <item t="default"/>
      </items>
    </pivotField>
    <pivotField showAll="0"/>
    <pivotField showAll="0"/>
    <pivotField showAll="0"/>
    <pivotField dataField="1" showAll="0"/>
    <pivotField showAll="0">
      <items count="4">
        <item x="1"/>
        <item x="0"/>
        <item x="2"/>
        <item t="default"/>
      </items>
    </pivotField>
    <pivotField showAll="0">
      <items count="6">
        <item x="3"/>
        <item x="0"/>
        <item x="4"/>
        <item x="1"/>
        <item x="2"/>
        <item t="default"/>
      </items>
    </pivotField>
    <pivotField showAll="0">
      <items count="4">
        <item x="1"/>
        <item x="0"/>
        <item x="2"/>
        <item t="default"/>
      </items>
    </pivotField>
  </pivotFields>
  <rowItems count="1">
    <i/>
  </rowItems>
  <colItems count="1">
    <i/>
  </colItems>
  <dataFields count="1">
    <dataField name="Average of Performance Rating" fld="1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E0D14B-F17B-4EE5-83DE-C114105108CE}"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25:F31" firstHeaderRow="1" firstDataRow="1" firstDataCol="1"/>
  <pivotFields count="21">
    <pivotField showAll="0"/>
    <pivotField dataField="1" showAll="0"/>
    <pivotField showAll="0"/>
    <pivotField showAll="0"/>
    <pivotField showAll="0"/>
    <pivotField axis="axisRow"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items count="51">
        <item x="40"/>
        <item x="26"/>
        <item x="13"/>
        <item x="17"/>
        <item x="12"/>
        <item x="10"/>
        <item x="15"/>
        <item x="1"/>
        <item x="27"/>
        <item x="11"/>
        <item x="2"/>
        <item x="22"/>
        <item x="41"/>
        <item x="29"/>
        <item x="5"/>
        <item x="20"/>
        <item x="16"/>
        <item x="43"/>
        <item x="46"/>
        <item x="3"/>
        <item x="21"/>
        <item x="37"/>
        <item x="35"/>
        <item x="44"/>
        <item x="39"/>
        <item x="24"/>
        <item x="31"/>
        <item x="30"/>
        <item x="38"/>
        <item x="34"/>
        <item x="9"/>
        <item x="0"/>
        <item x="23"/>
        <item x="48"/>
        <item x="19"/>
        <item x="36"/>
        <item x="6"/>
        <item x="4"/>
        <item x="14"/>
        <item x="33"/>
        <item x="7"/>
        <item x="49"/>
        <item x="45"/>
        <item x="25"/>
        <item x="42"/>
        <item x="32"/>
        <item x="28"/>
        <item x="8"/>
        <item x="47"/>
        <item x="18"/>
        <item t="default"/>
      </items>
    </pivotField>
    <pivotField showAll="0">
      <items count="51">
        <item x="7"/>
        <item x="23"/>
        <item x="21"/>
        <item x="30"/>
        <item x="22"/>
        <item x="13"/>
        <item x="44"/>
        <item x="49"/>
        <item x="35"/>
        <item x="5"/>
        <item x="10"/>
        <item x="16"/>
        <item x="25"/>
        <item x="40"/>
        <item x="38"/>
        <item x="28"/>
        <item x="15"/>
        <item x="45"/>
        <item x="9"/>
        <item x="34"/>
        <item x="32"/>
        <item x="31"/>
        <item x="42"/>
        <item x="17"/>
        <item x="4"/>
        <item x="0"/>
        <item x="36"/>
        <item x="41"/>
        <item x="48"/>
        <item x="29"/>
        <item x="19"/>
        <item x="8"/>
        <item x="20"/>
        <item x="37"/>
        <item x="26"/>
        <item x="39"/>
        <item x="12"/>
        <item x="27"/>
        <item x="2"/>
        <item x="43"/>
        <item x="18"/>
        <item x="1"/>
        <item x="33"/>
        <item x="14"/>
        <item x="46"/>
        <item x="47"/>
        <item x="11"/>
        <item x="24"/>
        <item x="6"/>
        <item x="3"/>
        <item t="default"/>
      </items>
    </pivotField>
    <pivotField showAll="0">
      <items count="4">
        <item x="1"/>
        <item x="0"/>
        <item x="2"/>
        <item t="default"/>
      </items>
    </pivotField>
    <pivotField showAll="0">
      <items count="4">
        <item x="1"/>
        <item x="0"/>
        <item x="2"/>
        <item t="default"/>
      </items>
    </pivotField>
    <pivotField showAll="0"/>
    <pivotField showAll="0">
      <items count="5">
        <item x="3"/>
        <item x="1"/>
        <item x="0"/>
        <item x="2"/>
        <item t="default"/>
      </items>
    </pivotField>
    <pivotField showAll="0"/>
    <pivotField showAll="0"/>
    <pivotField showAll="0"/>
    <pivotField showAll="0"/>
    <pivotField showAll="0">
      <items count="4">
        <item x="1"/>
        <item x="0"/>
        <item x="2"/>
        <item t="default"/>
      </items>
    </pivotField>
    <pivotField showAll="0">
      <items count="6">
        <item x="3"/>
        <item x="0"/>
        <item x="4"/>
        <item x="1"/>
        <item x="2"/>
        <item t="default"/>
      </items>
    </pivotField>
    <pivotField showAll="0">
      <items count="4">
        <item x="1"/>
        <item x="0"/>
        <item x="2"/>
        <item t="default"/>
      </items>
    </pivotField>
  </pivotFields>
  <rowFields count="1">
    <field x="5"/>
  </rowFields>
  <rowItems count="6">
    <i>
      <x/>
    </i>
    <i>
      <x v="1"/>
    </i>
    <i>
      <x v="2"/>
    </i>
    <i>
      <x v="3"/>
    </i>
    <i>
      <x v="4"/>
    </i>
    <i t="grand">
      <x/>
    </i>
  </rowItems>
  <colItems count="1">
    <i/>
  </colItems>
  <dataFields count="1">
    <dataField name="Count of Full Name" fld="1" subtotal="count" baseField="0" baseItem="0"/>
  </dataFields>
  <chartFormats count="2">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367A62-674C-40EB-84D0-AAAF6A52E0F0}"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8:F21" firstHeaderRow="1" firstDataRow="1" firstDataCol="1"/>
  <pivotFields count="21">
    <pivotField showAll="0"/>
    <pivotField dataField="1" showAll="0">
      <items count="50">
        <item x="43"/>
        <item x="46"/>
        <item x="4"/>
        <item x="11"/>
        <item x="8"/>
        <item x="23"/>
        <item x="39"/>
        <item x="6"/>
        <item x="36"/>
        <item x="38"/>
        <item x="5"/>
        <item x="45"/>
        <item x="15"/>
        <item x="12"/>
        <item x="7"/>
        <item x="22"/>
        <item x="19"/>
        <item x="16"/>
        <item x="41"/>
        <item x="1"/>
        <item x="28"/>
        <item x="2"/>
        <item x="40"/>
        <item x="14"/>
        <item x="26"/>
        <item x="18"/>
        <item x="3"/>
        <item x="0"/>
        <item x="9"/>
        <item x="29"/>
        <item x="32"/>
        <item x="31"/>
        <item x="21"/>
        <item x="10"/>
        <item x="25"/>
        <item x="48"/>
        <item x="20"/>
        <item x="33"/>
        <item x="47"/>
        <item x="27"/>
        <item x="44"/>
        <item x="30"/>
        <item x="34"/>
        <item x="13"/>
        <item x="17"/>
        <item x="35"/>
        <item x="37"/>
        <item x="42"/>
        <item x="24"/>
        <item t="default"/>
      </items>
    </pivotField>
    <pivotField axis="axisRow" showAll="0">
      <items count="3">
        <item x="0"/>
        <item x="1"/>
        <item t="default"/>
      </items>
    </pivotField>
    <pivotField showAll="0"/>
    <pivotField showAll="0"/>
    <pivotField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items count="51">
        <item x="40"/>
        <item x="26"/>
        <item x="13"/>
        <item x="17"/>
        <item x="12"/>
        <item x="10"/>
        <item x="15"/>
        <item x="1"/>
        <item x="27"/>
        <item x="11"/>
        <item x="2"/>
        <item x="22"/>
        <item x="41"/>
        <item x="29"/>
        <item x="5"/>
        <item x="20"/>
        <item x="16"/>
        <item x="43"/>
        <item x="46"/>
        <item x="3"/>
        <item x="21"/>
        <item x="37"/>
        <item x="35"/>
        <item x="44"/>
        <item x="39"/>
        <item x="24"/>
        <item x="31"/>
        <item x="30"/>
        <item x="38"/>
        <item x="34"/>
        <item x="9"/>
        <item x="0"/>
        <item x="23"/>
        <item x="48"/>
        <item x="19"/>
        <item x="36"/>
        <item x="6"/>
        <item x="4"/>
        <item x="14"/>
        <item x="33"/>
        <item x="7"/>
        <item x="49"/>
        <item x="45"/>
        <item x="25"/>
        <item x="42"/>
        <item x="32"/>
        <item x="28"/>
        <item x="8"/>
        <item x="47"/>
        <item x="18"/>
        <item t="default"/>
      </items>
    </pivotField>
    <pivotField showAll="0">
      <items count="51">
        <item x="7"/>
        <item x="23"/>
        <item x="21"/>
        <item x="30"/>
        <item x="22"/>
        <item x="13"/>
        <item x="44"/>
        <item x="49"/>
        <item x="35"/>
        <item x="5"/>
        <item x="10"/>
        <item x="16"/>
        <item x="25"/>
        <item x="40"/>
        <item x="38"/>
        <item x="28"/>
        <item x="15"/>
        <item x="45"/>
        <item x="9"/>
        <item x="34"/>
        <item x="32"/>
        <item x="31"/>
        <item x="42"/>
        <item x="17"/>
        <item x="4"/>
        <item x="0"/>
        <item x="36"/>
        <item x="41"/>
        <item x="48"/>
        <item x="29"/>
        <item x="19"/>
        <item x="8"/>
        <item x="20"/>
        <item x="37"/>
        <item x="26"/>
        <item x="39"/>
        <item x="12"/>
        <item x="27"/>
        <item x="2"/>
        <item x="43"/>
        <item x="18"/>
        <item x="1"/>
        <item x="33"/>
        <item x="14"/>
        <item x="46"/>
        <item x="47"/>
        <item x="11"/>
        <item x="24"/>
        <item x="6"/>
        <item x="3"/>
        <item t="default"/>
      </items>
    </pivotField>
    <pivotField showAll="0">
      <items count="4">
        <item x="1"/>
        <item x="0"/>
        <item x="2"/>
        <item t="default"/>
      </items>
    </pivotField>
    <pivotField showAll="0">
      <items count="4">
        <item x="1"/>
        <item x="0"/>
        <item x="2"/>
        <item t="default"/>
      </items>
    </pivotField>
    <pivotField showAll="0"/>
    <pivotField showAll="0">
      <items count="5">
        <item x="3"/>
        <item x="1"/>
        <item x="0"/>
        <item x="2"/>
        <item t="default"/>
      </items>
    </pivotField>
    <pivotField showAll="0"/>
    <pivotField showAll="0"/>
    <pivotField showAll="0"/>
    <pivotField showAll="0"/>
    <pivotField showAll="0">
      <items count="4">
        <item x="1"/>
        <item x="0"/>
        <item x="2"/>
        <item t="default"/>
      </items>
    </pivotField>
    <pivotField showAll="0">
      <items count="6">
        <item x="3"/>
        <item x="0"/>
        <item x="4"/>
        <item x="1"/>
        <item x="2"/>
        <item t="default"/>
      </items>
    </pivotField>
    <pivotField showAll="0">
      <items count="4">
        <item x="1"/>
        <item x="0"/>
        <item x="2"/>
        <item t="default"/>
      </items>
    </pivotField>
  </pivotFields>
  <rowFields count="1">
    <field x="2"/>
  </rowFields>
  <rowItems count="3">
    <i>
      <x/>
    </i>
    <i>
      <x v="1"/>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6BDAB4-3F40-4043-B5EF-8D831185CCC7}"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C24" firstHeaderRow="1" firstDataRow="1" firstDataCol="1"/>
  <pivotFields count="21">
    <pivotField showAll="0"/>
    <pivotField dataField="1" showAll="0"/>
    <pivotField showAll="0">
      <items count="3">
        <item x="0"/>
        <item x="1"/>
        <item t="default"/>
      </items>
    </pivotField>
    <pivotField showAll="0"/>
    <pivotField showAll="0"/>
    <pivotField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items count="51">
        <item x="40"/>
        <item x="26"/>
        <item x="13"/>
        <item x="17"/>
        <item x="12"/>
        <item x="10"/>
        <item x="15"/>
        <item x="1"/>
        <item x="27"/>
        <item x="11"/>
        <item x="2"/>
        <item x="22"/>
        <item x="41"/>
        <item x="29"/>
        <item x="5"/>
        <item x="20"/>
        <item x="16"/>
        <item x="43"/>
        <item x="46"/>
        <item x="3"/>
        <item x="21"/>
        <item x="37"/>
        <item x="35"/>
        <item x="44"/>
        <item x="39"/>
        <item x="24"/>
        <item x="31"/>
        <item x="30"/>
        <item x="38"/>
        <item x="34"/>
        <item x="9"/>
        <item x="0"/>
        <item x="23"/>
        <item x="48"/>
        <item x="19"/>
        <item x="36"/>
        <item x="6"/>
        <item x="4"/>
        <item x="14"/>
        <item x="33"/>
        <item x="7"/>
        <item x="49"/>
        <item x="45"/>
        <item x="25"/>
        <item x="42"/>
        <item x="32"/>
        <item x="28"/>
        <item x="8"/>
        <item x="47"/>
        <item x="18"/>
        <item t="default"/>
      </items>
    </pivotField>
    <pivotField showAll="0">
      <items count="51">
        <item x="7"/>
        <item x="23"/>
        <item x="21"/>
        <item x="30"/>
        <item x="22"/>
        <item x="13"/>
        <item x="44"/>
        <item x="49"/>
        <item x="35"/>
        <item x="5"/>
        <item x="10"/>
        <item x="16"/>
        <item x="25"/>
        <item x="40"/>
        <item x="38"/>
        <item x="28"/>
        <item x="15"/>
        <item x="45"/>
        <item x="9"/>
        <item x="34"/>
        <item x="32"/>
        <item x="31"/>
        <item x="42"/>
        <item x="17"/>
        <item x="4"/>
        <item x="0"/>
        <item x="36"/>
        <item x="41"/>
        <item x="48"/>
        <item x="29"/>
        <item x="19"/>
        <item x="8"/>
        <item x="20"/>
        <item x="37"/>
        <item x="26"/>
        <item x="39"/>
        <item x="12"/>
        <item x="27"/>
        <item x="2"/>
        <item x="43"/>
        <item x="18"/>
        <item x="1"/>
        <item x="33"/>
        <item x="14"/>
        <item x="46"/>
        <item x="47"/>
        <item x="11"/>
        <item x="24"/>
        <item x="6"/>
        <item x="3"/>
        <item t="default"/>
      </items>
    </pivotField>
    <pivotField showAll="0">
      <items count="4">
        <item x="1"/>
        <item x="0"/>
        <item x="2"/>
        <item t="default"/>
      </items>
    </pivotField>
    <pivotField showAll="0">
      <items count="4">
        <item x="1"/>
        <item x="0"/>
        <item x="2"/>
        <item t="default"/>
      </items>
    </pivotField>
    <pivotField showAll="0"/>
    <pivotField showAll="0">
      <items count="5">
        <item x="3"/>
        <item x="1"/>
        <item x="0"/>
        <item x="2"/>
        <item t="default"/>
      </items>
    </pivotField>
    <pivotField showAll="0"/>
    <pivotField showAll="0"/>
    <pivotField showAll="0"/>
    <pivotField showAll="0"/>
    <pivotField showAll="0">
      <items count="4">
        <item x="1"/>
        <item x="0"/>
        <item x="2"/>
        <item t="default"/>
      </items>
    </pivotField>
    <pivotField axis="axisRow" showAll="0">
      <items count="6">
        <item x="3"/>
        <item x="0"/>
        <item x="4"/>
        <item x="1"/>
        <item x="2"/>
        <item t="default"/>
      </items>
    </pivotField>
    <pivotField showAll="0">
      <items count="4">
        <item x="1"/>
        <item x="0"/>
        <item x="2"/>
        <item t="default"/>
      </items>
    </pivotField>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AFB5C7-EF54-42CA-A2B3-E968375766C2}" name="Employees per branch"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6" firstHeaderRow="1" firstDataRow="1" firstDataCol="1"/>
  <pivotFields count="21">
    <pivotField showAll="0"/>
    <pivotField dataField="1" showAll="0"/>
    <pivotField showAll="0"/>
    <pivotField showAll="0"/>
    <pivotField showAll="0"/>
    <pivotField showAll="0">
      <items count="6">
        <item x="1"/>
        <item x="0"/>
        <item x="4"/>
        <item x="3"/>
        <item x="2"/>
        <item t="default"/>
      </items>
    </pivotField>
    <pivotField showAll="0">
      <items count="6">
        <item x="4"/>
        <item x="1"/>
        <item x="3"/>
        <item x="2"/>
        <item x="0"/>
        <item t="default"/>
      </items>
    </pivotField>
    <pivotField showAll="0">
      <items count="6">
        <item x="0"/>
        <item x="1"/>
        <item x="4"/>
        <item x="2"/>
        <item x="3"/>
        <item t="default"/>
      </items>
    </pivotField>
    <pivotField showAll="0">
      <items count="51">
        <item x="40"/>
        <item x="26"/>
        <item x="13"/>
        <item x="17"/>
        <item x="12"/>
        <item x="10"/>
        <item x="15"/>
        <item x="1"/>
        <item x="27"/>
        <item x="11"/>
        <item x="2"/>
        <item x="22"/>
        <item x="41"/>
        <item x="29"/>
        <item x="5"/>
        <item x="20"/>
        <item x="16"/>
        <item x="43"/>
        <item x="46"/>
        <item x="3"/>
        <item x="21"/>
        <item x="37"/>
        <item x="35"/>
        <item x="44"/>
        <item x="39"/>
        <item x="24"/>
        <item x="31"/>
        <item x="30"/>
        <item x="38"/>
        <item x="34"/>
        <item x="9"/>
        <item x="0"/>
        <item x="23"/>
        <item x="48"/>
        <item x="19"/>
        <item x="36"/>
        <item x="6"/>
        <item x="4"/>
        <item x="14"/>
        <item x="33"/>
        <item x="7"/>
        <item x="49"/>
        <item x="45"/>
        <item x="25"/>
        <item x="42"/>
        <item x="32"/>
        <item x="28"/>
        <item x="8"/>
        <item x="47"/>
        <item x="18"/>
        <item t="default"/>
      </items>
    </pivotField>
    <pivotField showAll="0">
      <items count="51">
        <item x="7"/>
        <item x="23"/>
        <item x="21"/>
        <item x="30"/>
        <item x="22"/>
        <item x="13"/>
        <item x="44"/>
        <item x="49"/>
        <item x="35"/>
        <item x="5"/>
        <item x="10"/>
        <item x="16"/>
        <item x="25"/>
        <item x="40"/>
        <item x="38"/>
        <item x="28"/>
        <item x="15"/>
        <item x="45"/>
        <item x="9"/>
        <item x="34"/>
        <item x="32"/>
        <item x="31"/>
        <item x="42"/>
        <item x="17"/>
        <item x="4"/>
        <item x="0"/>
        <item x="36"/>
        <item x="41"/>
        <item x="48"/>
        <item x="29"/>
        <item x="19"/>
        <item x="8"/>
        <item x="20"/>
        <item x="37"/>
        <item x="26"/>
        <item x="39"/>
        <item x="12"/>
        <item x="27"/>
        <item x="2"/>
        <item x="43"/>
        <item x="18"/>
        <item x="1"/>
        <item x="33"/>
        <item x="14"/>
        <item x="46"/>
        <item x="47"/>
        <item x="11"/>
        <item x="24"/>
        <item x="6"/>
        <item x="3"/>
        <item t="default"/>
      </items>
    </pivotField>
    <pivotField showAll="0">
      <items count="4">
        <item x="1"/>
        <item x="0"/>
        <item x="2"/>
        <item t="default"/>
      </items>
    </pivotField>
    <pivotField axis="axisRow" showAll="0">
      <items count="4">
        <item x="1"/>
        <item x="0"/>
        <item x="2"/>
        <item t="default"/>
      </items>
    </pivotField>
    <pivotField showAll="0"/>
    <pivotField showAll="0">
      <items count="5">
        <item x="3"/>
        <item x="1"/>
        <item x="0"/>
        <item x="2"/>
        <item t="default"/>
      </items>
    </pivotField>
    <pivotField showAll="0"/>
    <pivotField showAll="0"/>
    <pivotField showAll="0"/>
    <pivotField showAll="0"/>
    <pivotField showAll="0">
      <items count="4">
        <item x="1"/>
        <item x="0"/>
        <item x="2"/>
        <item t="default"/>
      </items>
    </pivotField>
    <pivotField showAll="0">
      <items count="6">
        <item x="3"/>
        <item x="0"/>
        <item x="4"/>
        <item x="1"/>
        <item x="2"/>
        <item t="default"/>
      </items>
    </pivotField>
    <pivotField showAll="0">
      <items count="4">
        <item x="1"/>
        <item x="0"/>
        <item x="2"/>
        <item t="default"/>
      </items>
    </pivotField>
  </pivotFields>
  <rowFields count="1">
    <field x="11"/>
  </rowFields>
  <rowItems count="4">
    <i>
      <x/>
    </i>
    <i>
      <x v="1"/>
    </i>
    <i>
      <x v="2"/>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38E25C-77D8-4E37-83FA-94BC9626ADC9}" name="Age Range Gender count"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G9" firstHeaderRow="1" firstDataRow="2" firstDataCol="1"/>
  <pivotFields count="21">
    <pivotField showAll="0"/>
    <pivotField showAll="0"/>
    <pivotField axis="axisCol" dataField="1" showAll="0">
      <items count="3">
        <item x="0"/>
        <item x="1"/>
        <item t="default"/>
      </items>
    </pivotField>
    <pivotField showAll="0"/>
    <pivotField axis="axisRow" showAll="0">
      <items count="6">
        <item x="0"/>
        <item x="1"/>
        <item x="2"/>
        <item x="4"/>
        <item x="3"/>
        <item t="default"/>
      </items>
    </pivotField>
    <pivotField showAll="0"/>
    <pivotField showAll="0">
      <items count="6">
        <item x="4"/>
        <item x="1"/>
        <item x="3"/>
        <item x="2"/>
        <item x="0"/>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Gender" fld="2" subtotal="count" baseField="0" baseItem="0"/>
  </dataFields>
  <chartFormats count="2">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099ED3-323F-4F8E-A121-A30A7CB0A6F0}" name="Salaries"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9:B15" firstHeaderRow="1" firstDataRow="1" firstDataCol="1"/>
  <pivotFields count="21">
    <pivotField showAll="0"/>
    <pivotField showAll="0"/>
    <pivotField showAll="0"/>
    <pivotField showAll="0"/>
    <pivotField showAll="0"/>
    <pivotField showAll="0"/>
    <pivotField axis="axisRow" showAll="0">
      <items count="6">
        <item x="4"/>
        <item x="1"/>
        <item x="3"/>
        <item x="2"/>
        <item x="0"/>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Leave Taken" fld="16" baseField="0" baseItem="0"/>
  </dataFields>
  <chartFormats count="1">
    <chartFormat chart="1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F5B114-A672-4FAF-BF22-BED13B4E5450}" name="Employment Status"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B6" firstHeaderRow="1" firstDataRow="1" firstDataCol="1"/>
  <pivotFields count="21">
    <pivotField showAll="0"/>
    <pivotField dataField="1"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Full Name" fld="1" subtotal="count" baseField="0" baseItem="0"/>
  </dataFields>
  <chartFormats count="4">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0" count="1" selected="0">
            <x v="0"/>
          </reference>
        </references>
      </pivotArea>
    </chartFormat>
    <chartFormat chart="10" format="10">
      <pivotArea type="data" outline="0" fieldPosition="0">
        <references count="2">
          <reference field="4294967294" count="1" selected="0">
            <x v="0"/>
          </reference>
          <reference field="10" count="1" selected="0">
            <x v="1"/>
          </reference>
        </references>
      </pivotArea>
    </chartFormat>
    <chartFormat chart="10"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DC2D5DB-7CAB-4A0D-A273-83B3C90FF10A}" sourceName="Gender">
  <pivotTables>
    <pivotTable tabId="2" name="PivotTable5"/>
  </pivotTables>
  <data>
    <tabular pivotCacheId="142775471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D49340E-57F8-4366-9F4F-ADC2D406258B}" sourceName="Department">
  <pivotTables>
    <pivotTable tabId="2" name="PivotTable5"/>
  </pivotTables>
  <data>
    <tabular pivotCacheId="1427754718">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3CA7807-510E-4947-AEA2-06FF253189EC}" cache="Slicer_Gender" caption="Gender" columnCount="2" showCaption="0" style="SlicerStyleDark2" rowHeight="247650"/>
  <slicer name="Department" xr10:uid="{BED3A1E2-AEBA-4795-90B3-CB046B5E5EA5}" cache="Slicer_Department" caption="Department" columnCount="3" style="SlicerStyleDark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D7F130C-4931-4EC9-8AE2-A64F6556D3A3}" name="Table1" displayName="Table1" ref="A1:U51" totalsRowShown="0" headerRowDxfId="22" dataDxfId="21">
  <autoFilter ref="A1:U51" xr:uid="{BD7F130C-4931-4EC9-8AE2-A64F6556D3A3}"/>
  <tableColumns count="21">
    <tableColumn id="1" xr3:uid="{6BDBB43D-1DF4-4FF3-9C56-0E3D699A83FC}" name="Employee ID" dataDxfId="20"/>
    <tableColumn id="2" xr3:uid="{363D91B7-21AD-4B4B-86DE-95D24769EAA5}" name="Full Name" dataDxfId="19"/>
    <tableColumn id="3" xr3:uid="{728245EC-9766-45F5-9851-7FEFEFBE2652}" name="Gender" dataDxfId="18"/>
    <tableColumn id="4" xr3:uid="{DD8A90D1-163F-4B0E-A039-9E7A16AFC106}" name="Age" dataDxfId="17"/>
    <tableColumn id="5" xr3:uid="{0672993B-A00D-49AE-84B7-674089468A17}" name="Age range" dataDxfId="16"/>
    <tableColumn id="6" xr3:uid="{B1ADEE80-60F1-4EE3-B3FB-8484EE6C17B3}" name="Region" dataDxfId="15"/>
    <tableColumn id="7" xr3:uid="{8E0A56EE-3456-4513-ADA0-27F6CAA8C17B}" name="Job Title" dataDxfId="14"/>
    <tableColumn id="8" xr3:uid="{0D9D5DB9-01CB-4300-B0CD-256901621ADC}" name="Department" dataDxfId="13"/>
    <tableColumn id="9" xr3:uid="{9EBDAC3F-6A39-4A78-B562-848691EE3AD1}" name="Manager/Supervisor" dataDxfId="12"/>
    <tableColumn id="10" xr3:uid="{AF849F24-150A-4123-B3F8-A46B4D4F7BC6}" name="Date of Hire" dataDxfId="11"/>
    <tableColumn id="11" xr3:uid="{8C57202E-334A-462A-9C44-E5E2468122E4}" name="Employment Status" dataDxfId="10"/>
    <tableColumn id="12" xr3:uid="{8A07812C-245C-4D55-A210-3AE7E0BB84EB}" name="Work Location" dataDxfId="9"/>
    <tableColumn id="13" xr3:uid="{6441036C-01DD-4130-8E4B-DBA441BCB744}" name="Salary" dataDxfId="8"/>
    <tableColumn id="14" xr3:uid="{ADCF531A-A98E-422C-939D-04D58C2423FB}" name="Pay Grade" dataDxfId="7"/>
    <tableColumn id="15" xr3:uid="{DE922695-AE31-4F31-8F89-61E6E7E646AB}" name="Bonus/Allowances" dataDxfId="6"/>
    <tableColumn id="16" xr3:uid="{62F2B816-9954-4A01-AEDC-4C13B3A2A52F}" name="Insurance Details" dataDxfId="5"/>
    <tableColumn id="17" xr3:uid="{6EFEC335-9B75-45D5-B403-A8A9E557BE24}" name="Leave Taken" dataDxfId="4"/>
    <tableColumn id="18" xr3:uid="{9DA1B78E-154E-42E4-A1BC-FE1CF363DCBA}" name="Performance Rating" dataDxfId="3"/>
    <tableColumn id="19" xr3:uid="{7E4B5E79-5639-4E3A-91A1-D1D8767BB705}" name="Training Programs Attended" dataDxfId="2"/>
    <tableColumn id="20" xr3:uid="{2E731344-8C6D-4001-9E36-F16B80500F61}" name="Skills" dataDxfId="1"/>
    <tableColumn id="21" xr3:uid="{9DCE550B-F788-4423-B330-CAB70C041DFC}" name="Certification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DDBEA-0C7D-4729-B9B7-DD33FC9EA67D}">
  <dimension ref="A1:U51"/>
  <sheetViews>
    <sheetView topLeftCell="P1" workbookViewId="0">
      <selection activeCell="B4" sqref="B4"/>
    </sheetView>
  </sheetViews>
  <sheetFormatPr defaultColWidth="9.109375" defaultRowHeight="13.8"/>
  <cols>
    <col min="1" max="1" width="17.6640625" style="2" bestFit="1" customWidth="1"/>
    <col min="2" max="2" width="18.109375" style="2" bestFit="1" customWidth="1"/>
    <col min="3" max="3" width="12.88671875" style="2" bestFit="1" customWidth="1"/>
    <col min="4" max="4" width="9.5546875" style="2" bestFit="1" customWidth="1"/>
    <col min="5" max="5" width="15.88671875" style="2" bestFit="1" customWidth="1"/>
    <col min="6" max="6" width="12.33203125" style="2" bestFit="1" customWidth="1"/>
    <col min="7" max="7" width="14.109375" style="2" bestFit="1" customWidth="1"/>
    <col min="8" max="8" width="17.44140625" style="2" bestFit="1" customWidth="1"/>
    <col min="9" max="9" width="25.6640625" style="2" bestFit="1" customWidth="1"/>
    <col min="10" max="10" width="18" style="2" bestFit="1" customWidth="1"/>
    <col min="11" max="11" width="25" style="2" bestFit="1" customWidth="1"/>
    <col min="12" max="12" width="20.33203125" style="2" bestFit="1" customWidth="1"/>
    <col min="13" max="13" width="11.88671875" style="2" bestFit="1" customWidth="1"/>
    <col min="14" max="14" width="16.109375" style="2" bestFit="1" customWidth="1"/>
    <col min="15" max="15" width="24" style="2" bestFit="1" customWidth="1"/>
    <col min="16" max="16" width="22.6640625" style="2" bestFit="1" customWidth="1"/>
    <col min="17" max="17" width="18.109375" style="2" bestFit="1" customWidth="1"/>
    <col min="18" max="18" width="25.44140625" style="2" bestFit="1" customWidth="1"/>
    <col min="19" max="19" width="34" style="2" bestFit="1" customWidth="1"/>
    <col min="20" max="20" width="16" style="2" bestFit="1" customWidth="1"/>
    <col min="21" max="21" width="21.109375" style="2" bestFit="1" customWidth="1"/>
    <col min="22" max="16384" width="9.109375" style="2"/>
  </cols>
  <sheetData>
    <row r="1" spans="1:21" ht="43.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s="3">
        <v>4294</v>
      </c>
      <c r="B2" s="3" t="s">
        <v>21</v>
      </c>
      <c r="C2" s="3" t="s">
        <v>22</v>
      </c>
      <c r="D2" s="3">
        <v>25</v>
      </c>
      <c r="E2" s="3" t="s">
        <v>23</v>
      </c>
      <c r="F2" s="3" t="s">
        <v>24</v>
      </c>
      <c r="G2" s="3" t="s">
        <v>25</v>
      </c>
      <c r="H2" s="3" t="s">
        <v>26</v>
      </c>
      <c r="I2" s="3" t="s">
        <v>27</v>
      </c>
      <c r="J2" s="3" t="s">
        <v>28</v>
      </c>
      <c r="K2" s="3" t="s">
        <v>29</v>
      </c>
      <c r="L2" s="3" t="s">
        <v>30</v>
      </c>
      <c r="M2" s="3">
        <v>53700</v>
      </c>
      <c r="N2" s="3" t="s">
        <v>31</v>
      </c>
      <c r="O2" s="3">
        <v>1463</v>
      </c>
      <c r="P2" s="3" t="s">
        <v>32</v>
      </c>
      <c r="Q2" s="3">
        <v>1</v>
      </c>
      <c r="R2" s="3">
        <v>1</v>
      </c>
      <c r="S2" s="3" t="s">
        <v>33</v>
      </c>
      <c r="T2" s="3" t="s">
        <v>34</v>
      </c>
      <c r="U2" s="3" t="s">
        <v>35</v>
      </c>
    </row>
    <row r="3" spans="1:21">
      <c r="A3" s="3">
        <v>9116</v>
      </c>
      <c r="B3" s="3" t="s">
        <v>36</v>
      </c>
      <c r="C3" s="3" t="s">
        <v>37</v>
      </c>
      <c r="D3" s="3">
        <v>27</v>
      </c>
      <c r="E3" s="3" t="s">
        <v>38</v>
      </c>
      <c r="F3" s="3" t="s">
        <v>39</v>
      </c>
      <c r="G3" s="3" t="s">
        <v>40</v>
      </c>
      <c r="H3" s="3" t="s">
        <v>41</v>
      </c>
      <c r="I3" s="3" t="s">
        <v>42</v>
      </c>
      <c r="J3" s="3" t="s">
        <v>43</v>
      </c>
      <c r="K3" s="3" t="s">
        <v>29</v>
      </c>
      <c r="L3" s="3" t="s">
        <v>44</v>
      </c>
      <c r="M3" s="3">
        <v>91091</v>
      </c>
      <c r="N3" s="3" t="s">
        <v>45</v>
      </c>
      <c r="O3" s="3">
        <v>1024</v>
      </c>
      <c r="P3" s="3" t="s">
        <v>46</v>
      </c>
      <c r="Q3" s="3">
        <v>19</v>
      </c>
      <c r="R3" s="3">
        <v>4</v>
      </c>
      <c r="S3" s="3" t="s">
        <v>47</v>
      </c>
      <c r="T3" s="3" t="s">
        <v>34</v>
      </c>
      <c r="U3" s="3" t="s">
        <v>35</v>
      </c>
    </row>
    <row r="4" spans="1:21">
      <c r="A4" s="3">
        <v>5120</v>
      </c>
      <c r="B4" s="3" t="s">
        <v>48</v>
      </c>
      <c r="C4" s="3" t="s">
        <v>37</v>
      </c>
      <c r="D4" s="3">
        <v>34</v>
      </c>
      <c r="E4" s="3" t="s">
        <v>38</v>
      </c>
      <c r="F4" s="3" t="s">
        <v>49</v>
      </c>
      <c r="G4" s="3" t="s">
        <v>50</v>
      </c>
      <c r="H4" s="3" t="s">
        <v>51</v>
      </c>
      <c r="I4" s="3" t="s">
        <v>52</v>
      </c>
      <c r="J4" s="3" t="s">
        <v>53</v>
      </c>
      <c r="K4" s="3" t="s">
        <v>29</v>
      </c>
      <c r="L4" s="3" t="s">
        <v>54</v>
      </c>
      <c r="M4" s="3">
        <v>57538</v>
      </c>
      <c r="N4" s="3" t="s">
        <v>55</v>
      </c>
      <c r="O4" s="3">
        <v>1674</v>
      </c>
      <c r="P4" s="3" t="s">
        <v>46</v>
      </c>
      <c r="Q4" s="3">
        <v>8</v>
      </c>
      <c r="R4" s="3">
        <v>1</v>
      </c>
      <c r="S4" s="3" t="s">
        <v>46</v>
      </c>
      <c r="T4" s="3" t="s">
        <v>56</v>
      </c>
      <c r="U4" s="3" t="s">
        <v>57</v>
      </c>
    </row>
    <row r="5" spans="1:21">
      <c r="A5" s="3">
        <v>8071</v>
      </c>
      <c r="B5" s="3" t="s">
        <v>58</v>
      </c>
      <c r="C5" s="3" t="s">
        <v>22</v>
      </c>
      <c r="D5" s="3">
        <v>41</v>
      </c>
      <c r="E5" s="3" t="s">
        <v>59</v>
      </c>
      <c r="F5" s="3" t="s">
        <v>49</v>
      </c>
      <c r="G5" s="3" t="s">
        <v>25</v>
      </c>
      <c r="H5" s="3" t="s">
        <v>60</v>
      </c>
      <c r="I5" s="3" t="s">
        <v>61</v>
      </c>
      <c r="J5" s="3" t="s">
        <v>62</v>
      </c>
      <c r="K5" s="3" t="s">
        <v>63</v>
      </c>
      <c r="L5" s="3" t="s">
        <v>30</v>
      </c>
      <c r="M5" s="3">
        <v>62993</v>
      </c>
      <c r="N5" s="3" t="s">
        <v>64</v>
      </c>
      <c r="O5" s="3">
        <v>2695</v>
      </c>
      <c r="P5" s="3" t="s">
        <v>65</v>
      </c>
      <c r="Q5" s="3">
        <v>0</v>
      </c>
      <c r="R5" s="3">
        <v>2</v>
      </c>
      <c r="S5" s="3" t="s">
        <v>46</v>
      </c>
      <c r="T5" s="3" t="s">
        <v>66</v>
      </c>
      <c r="U5" s="3" t="s">
        <v>46</v>
      </c>
    </row>
    <row r="6" spans="1:21">
      <c r="A6" s="3">
        <v>9351</v>
      </c>
      <c r="B6" s="3" t="s">
        <v>67</v>
      </c>
      <c r="C6" s="3" t="s">
        <v>37</v>
      </c>
      <c r="D6" s="3">
        <v>56</v>
      </c>
      <c r="E6" s="3" t="s">
        <v>68</v>
      </c>
      <c r="F6" s="3" t="s">
        <v>24</v>
      </c>
      <c r="G6" s="3" t="s">
        <v>25</v>
      </c>
      <c r="H6" s="3" t="s">
        <v>51</v>
      </c>
      <c r="I6" s="3" t="s">
        <v>69</v>
      </c>
      <c r="J6" s="3" t="s">
        <v>70</v>
      </c>
      <c r="K6" s="3" t="s">
        <v>63</v>
      </c>
      <c r="L6" s="3" t="s">
        <v>44</v>
      </c>
      <c r="M6" s="3">
        <v>45773</v>
      </c>
      <c r="N6" s="3" t="s">
        <v>64</v>
      </c>
      <c r="O6" s="3">
        <v>8776</v>
      </c>
      <c r="P6" s="3" t="s">
        <v>32</v>
      </c>
      <c r="Q6" s="3">
        <v>16</v>
      </c>
      <c r="R6" s="3">
        <v>4</v>
      </c>
      <c r="S6" s="3" t="s">
        <v>33</v>
      </c>
      <c r="T6" s="3" t="s">
        <v>66</v>
      </c>
      <c r="U6" s="3" t="s">
        <v>46</v>
      </c>
    </row>
    <row r="7" spans="1:21">
      <c r="A7" s="3">
        <v>2873</v>
      </c>
      <c r="B7" s="3" t="s">
        <v>71</v>
      </c>
      <c r="C7" s="3" t="s">
        <v>22</v>
      </c>
      <c r="D7" s="3">
        <v>28</v>
      </c>
      <c r="E7" s="3" t="s">
        <v>38</v>
      </c>
      <c r="F7" s="3" t="s">
        <v>49</v>
      </c>
      <c r="G7" s="3" t="s">
        <v>72</v>
      </c>
      <c r="H7" s="3" t="s">
        <v>51</v>
      </c>
      <c r="I7" s="3" t="s">
        <v>73</v>
      </c>
      <c r="J7" s="3" t="s">
        <v>74</v>
      </c>
      <c r="K7" s="3" t="s">
        <v>29</v>
      </c>
      <c r="L7" s="3" t="s">
        <v>44</v>
      </c>
      <c r="M7" s="3">
        <v>96249</v>
      </c>
      <c r="N7" s="3" t="s">
        <v>31</v>
      </c>
      <c r="O7" s="3">
        <v>4826</v>
      </c>
      <c r="P7" s="3" t="s">
        <v>65</v>
      </c>
      <c r="Q7" s="3">
        <v>7</v>
      </c>
      <c r="R7" s="3">
        <v>3</v>
      </c>
      <c r="S7" s="3" t="s">
        <v>33</v>
      </c>
      <c r="T7" s="3" t="s">
        <v>75</v>
      </c>
      <c r="U7" s="3" t="s">
        <v>35</v>
      </c>
    </row>
    <row r="8" spans="1:21">
      <c r="A8" s="3">
        <v>3540</v>
      </c>
      <c r="B8" s="3" t="s">
        <v>76</v>
      </c>
      <c r="C8" s="3" t="s">
        <v>22</v>
      </c>
      <c r="D8" s="3">
        <v>20</v>
      </c>
      <c r="E8" s="3" t="s">
        <v>23</v>
      </c>
      <c r="F8" s="3" t="s">
        <v>39</v>
      </c>
      <c r="G8" s="3" t="s">
        <v>50</v>
      </c>
      <c r="H8" s="3" t="s">
        <v>51</v>
      </c>
      <c r="I8" s="3" t="s">
        <v>77</v>
      </c>
      <c r="J8" s="3" t="s">
        <v>78</v>
      </c>
      <c r="K8" s="3" t="s">
        <v>29</v>
      </c>
      <c r="L8" s="3" t="s">
        <v>54</v>
      </c>
      <c r="M8" s="3">
        <v>61596</v>
      </c>
      <c r="N8" s="3" t="s">
        <v>31</v>
      </c>
      <c r="O8" s="3">
        <v>8818</v>
      </c>
      <c r="P8" s="3" t="s">
        <v>65</v>
      </c>
      <c r="Q8" s="3">
        <v>4</v>
      </c>
      <c r="R8" s="3">
        <v>2</v>
      </c>
      <c r="S8" s="3" t="s">
        <v>33</v>
      </c>
      <c r="T8" s="3" t="s">
        <v>56</v>
      </c>
      <c r="U8" s="3" t="s">
        <v>46</v>
      </c>
    </row>
    <row r="9" spans="1:21">
      <c r="A9" s="3">
        <v>3653</v>
      </c>
      <c r="B9" s="3" t="s">
        <v>79</v>
      </c>
      <c r="C9" s="3" t="s">
        <v>22</v>
      </c>
      <c r="D9" s="3">
        <v>58</v>
      </c>
      <c r="E9" s="3" t="s">
        <v>68</v>
      </c>
      <c r="F9" s="3" t="s">
        <v>80</v>
      </c>
      <c r="G9" s="3" t="s">
        <v>40</v>
      </c>
      <c r="H9" s="3" t="s">
        <v>81</v>
      </c>
      <c r="I9" s="3" t="s">
        <v>82</v>
      </c>
      <c r="J9" s="3" t="s">
        <v>83</v>
      </c>
      <c r="K9" s="3" t="s">
        <v>29</v>
      </c>
      <c r="L9" s="3" t="s">
        <v>54</v>
      </c>
      <c r="M9" s="3">
        <v>97869</v>
      </c>
      <c r="N9" s="3" t="s">
        <v>64</v>
      </c>
      <c r="O9" s="3">
        <v>1966</v>
      </c>
      <c r="P9" s="3" t="s">
        <v>32</v>
      </c>
      <c r="Q9" s="3">
        <v>10</v>
      </c>
      <c r="R9" s="3">
        <v>1</v>
      </c>
      <c r="S9" s="3" t="s">
        <v>33</v>
      </c>
      <c r="T9" s="3" t="s">
        <v>34</v>
      </c>
      <c r="U9" s="3" t="s">
        <v>35</v>
      </c>
    </row>
    <row r="10" spans="1:21">
      <c r="A10" s="3">
        <v>5587</v>
      </c>
      <c r="B10" s="3" t="s">
        <v>84</v>
      </c>
      <c r="C10" s="3" t="s">
        <v>22</v>
      </c>
      <c r="D10" s="3">
        <v>44</v>
      </c>
      <c r="E10" s="3" t="s">
        <v>59</v>
      </c>
      <c r="F10" s="3" t="s">
        <v>80</v>
      </c>
      <c r="G10" s="3" t="s">
        <v>50</v>
      </c>
      <c r="H10" s="3" t="s">
        <v>51</v>
      </c>
      <c r="I10" s="3" t="s">
        <v>85</v>
      </c>
      <c r="J10" s="3" t="s">
        <v>86</v>
      </c>
      <c r="K10" s="3" t="s">
        <v>29</v>
      </c>
      <c r="L10" s="3" t="s">
        <v>30</v>
      </c>
      <c r="M10" s="3">
        <v>81235</v>
      </c>
      <c r="N10" s="3" t="s">
        <v>64</v>
      </c>
      <c r="O10" s="3">
        <v>6553</v>
      </c>
      <c r="P10" s="3" t="s">
        <v>46</v>
      </c>
      <c r="Q10" s="3">
        <v>16</v>
      </c>
      <c r="R10" s="3">
        <v>2</v>
      </c>
      <c r="S10" s="3" t="s">
        <v>46</v>
      </c>
      <c r="T10" s="3" t="s">
        <v>56</v>
      </c>
      <c r="U10" s="3" t="s">
        <v>35</v>
      </c>
    </row>
    <row r="11" spans="1:21">
      <c r="A11" s="3">
        <v>9554</v>
      </c>
      <c r="B11" s="3" t="s">
        <v>87</v>
      </c>
      <c r="C11" s="3" t="s">
        <v>22</v>
      </c>
      <c r="D11" s="3">
        <v>29</v>
      </c>
      <c r="E11" s="3" t="s">
        <v>38</v>
      </c>
      <c r="F11" s="3" t="s">
        <v>39</v>
      </c>
      <c r="G11" s="3" t="s">
        <v>50</v>
      </c>
      <c r="H11" s="3" t="s">
        <v>60</v>
      </c>
      <c r="I11" s="3" t="s">
        <v>88</v>
      </c>
      <c r="J11" s="3" t="s">
        <v>89</v>
      </c>
      <c r="K11" s="3" t="s">
        <v>29</v>
      </c>
      <c r="L11" s="3" t="s">
        <v>44</v>
      </c>
      <c r="M11" s="3">
        <v>87852</v>
      </c>
      <c r="N11" s="3" t="s">
        <v>64</v>
      </c>
      <c r="O11" s="3">
        <v>4980</v>
      </c>
      <c r="P11" s="3" t="s">
        <v>65</v>
      </c>
      <c r="Q11" s="3">
        <v>19</v>
      </c>
      <c r="R11" s="3">
        <v>3</v>
      </c>
      <c r="S11" s="3" t="s">
        <v>46</v>
      </c>
      <c r="T11" s="3" t="s">
        <v>66</v>
      </c>
      <c r="U11" s="3" t="s">
        <v>35</v>
      </c>
    </row>
    <row r="12" spans="1:21">
      <c r="A12" s="3">
        <v>6213</v>
      </c>
      <c r="B12" s="3" t="s">
        <v>90</v>
      </c>
      <c r="C12" s="3" t="s">
        <v>37</v>
      </c>
      <c r="D12" s="3">
        <v>23</v>
      </c>
      <c r="E12" s="3" t="s">
        <v>23</v>
      </c>
      <c r="F12" s="3" t="s">
        <v>80</v>
      </c>
      <c r="G12" s="3" t="s">
        <v>25</v>
      </c>
      <c r="H12" s="3" t="s">
        <v>51</v>
      </c>
      <c r="I12" s="3" t="s">
        <v>91</v>
      </c>
      <c r="J12" s="3" t="s">
        <v>92</v>
      </c>
      <c r="K12" s="3" t="s">
        <v>63</v>
      </c>
      <c r="L12" s="3" t="s">
        <v>44</v>
      </c>
      <c r="M12" s="3">
        <v>59359</v>
      </c>
      <c r="N12" s="3" t="s">
        <v>64</v>
      </c>
      <c r="O12" s="3">
        <v>9449</v>
      </c>
      <c r="P12" s="3" t="s">
        <v>65</v>
      </c>
      <c r="Q12" s="3">
        <v>20</v>
      </c>
      <c r="R12" s="3">
        <v>3</v>
      </c>
      <c r="S12" s="3" t="s">
        <v>46</v>
      </c>
      <c r="T12" s="3" t="s">
        <v>56</v>
      </c>
      <c r="U12" s="3" t="s">
        <v>46</v>
      </c>
    </row>
    <row r="13" spans="1:21">
      <c r="A13" s="3">
        <v>9105</v>
      </c>
      <c r="B13" s="3" t="s">
        <v>93</v>
      </c>
      <c r="C13" s="3" t="s">
        <v>37</v>
      </c>
      <c r="D13" s="3">
        <v>30</v>
      </c>
      <c r="E13" s="3" t="s">
        <v>38</v>
      </c>
      <c r="F13" s="3" t="s">
        <v>24</v>
      </c>
      <c r="G13" s="3" t="s">
        <v>40</v>
      </c>
      <c r="H13" s="3" t="s">
        <v>26</v>
      </c>
      <c r="I13" s="3" t="s">
        <v>94</v>
      </c>
      <c r="J13" s="3" t="s">
        <v>95</v>
      </c>
      <c r="K13" s="3" t="s">
        <v>63</v>
      </c>
      <c r="L13" s="3" t="s">
        <v>54</v>
      </c>
      <c r="M13" s="3">
        <v>81225</v>
      </c>
      <c r="N13" s="3" t="s">
        <v>55</v>
      </c>
      <c r="O13" s="3">
        <v>6202</v>
      </c>
      <c r="P13" s="3" t="s">
        <v>65</v>
      </c>
      <c r="Q13" s="3">
        <v>2</v>
      </c>
      <c r="R13" s="3">
        <v>2</v>
      </c>
      <c r="S13" s="3" t="s">
        <v>47</v>
      </c>
      <c r="T13" s="3" t="s">
        <v>96</v>
      </c>
      <c r="U13" s="3" t="s">
        <v>35</v>
      </c>
    </row>
    <row r="14" spans="1:21">
      <c r="A14" s="3">
        <v>9508</v>
      </c>
      <c r="B14" s="3" t="s">
        <v>97</v>
      </c>
      <c r="C14" s="3" t="s">
        <v>22</v>
      </c>
      <c r="D14" s="3">
        <v>49</v>
      </c>
      <c r="E14" s="3" t="s">
        <v>98</v>
      </c>
      <c r="F14" s="3" t="s">
        <v>39</v>
      </c>
      <c r="G14" s="3" t="s">
        <v>25</v>
      </c>
      <c r="H14" s="3" t="s">
        <v>26</v>
      </c>
      <c r="I14" s="3" t="s">
        <v>99</v>
      </c>
      <c r="J14" s="3" t="s">
        <v>100</v>
      </c>
      <c r="K14" s="3" t="s">
        <v>63</v>
      </c>
      <c r="L14" s="3" t="s">
        <v>30</v>
      </c>
      <c r="M14" s="3">
        <v>32788</v>
      </c>
      <c r="N14" s="3" t="s">
        <v>55</v>
      </c>
      <c r="O14" s="3">
        <v>4396</v>
      </c>
      <c r="P14" s="3" t="s">
        <v>32</v>
      </c>
      <c r="Q14" s="3">
        <v>13</v>
      </c>
      <c r="R14" s="3">
        <v>5</v>
      </c>
      <c r="S14" s="3" t="s">
        <v>46</v>
      </c>
      <c r="T14" s="3" t="s">
        <v>75</v>
      </c>
      <c r="U14" s="3" t="s">
        <v>57</v>
      </c>
    </row>
    <row r="15" spans="1:21">
      <c r="A15" s="3">
        <v>2436</v>
      </c>
      <c r="B15" s="3" t="s">
        <v>101</v>
      </c>
      <c r="C15" s="3" t="s">
        <v>37</v>
      </c>
      <c r="D15" s="3">
        <v>60</v>
      </c>
      <c r="E15" s="3" t="s">
        <v>68</v>
      </c>
      <c r="F15" s="3" t="s">
        <v>102</v>
      </c>
      <c r="G15" s="3" t="s">
        <v>25</v>
      </c>
      <c r="H15" s="3" t="s">
        <v>60</v>
      </c>
      <c r="I15" s="3" t="s">
        <v>103</v>
      </c>
      <c r="J15" s="3" t="s">
        <v>104</v>
      </c>
      <c r="K15" s="3" t="s">
        <v>63</v>
      </c>
      <c r="L15" s="3" t="s">
        <v>54</v>
      </c>
      <c r="M15" s="3">
        <v>70452</v>
      </c>
      <c r="N15" s="3" t="s">
        <v>55</v>
      </c>
      <c r="O15" s="3">
        <v>9911</v>
      </c>
      <c r="P15" s="3" t="s">
        <v>46</v>
      </c>
      <c r="Q15" s="3">
        <v>2</v>
      </c>
      <c r="R15" s="3">
        <v>1</v>
      </c>
      <c r="S15" s="3" t="s">
        <v>46</v>
      </c>
      <c r="T15" s="3" t="s">
        <v>75</v>
      </c>
      <c r="U15" s="3" t="s">
        <v>35</v>
      </c>
    </row>
    <row r="16" spans="1:21">
      <c r="A16" s="3">
        <v>4441</v>
      </c>
      <c r="B16" s="3" t="s">
        <v>105</v>
      </c>
      <c r="C16" s="3" t="s">
        <v>37</v>
      </c>
      <c r="D16" s="3">
        <v>46</v>
      </c>
      <c r="E16" s="3" t="s">
        <v>98</v>
      </c>
      <c r="F16" s="3" t="s">
        <v>39</v>
      </c>
      <c r="G16" s="3" t="s">
        <v>72</v>
      </c>
      <c r="H16" s="3" t="s">
        <v>26</v>
      </c>
      <c r="I16" s="3" t="s">
        <v>106</v>
      </c>
      <c r="J16" s="3" t="s">
        <v>107</v>
      </c>
      <c r="K16" s="3" t="s">
        <v>29</v>
      </c>
      <c r="L16" s="3" t="s">
        <v>44</v>
      </c>
      <c r="M16" s="3">
        <v>33045</v>
      </c>
      <c r="N16" s="3" t="s">
        <v>45</v>
      </c>
      <c r="O16" s="3">
        <v>1456</v>
      </c>
      <c r="P16" s="3" t="s">
        <v>46</v>
      </c>
      <c r="Q16" s="3">
        <v>16</v>
      </c>
      <c r="R16" s="3">
        <v>3</v>
      </c>
      <c r="S16" s="3" t="s">
        <v>47</v>
      </c>
      <c r="T16" s="3" t="s">
        <v>75</v>
      </c>
      <c r="U16" s="3" t="s">
        <v>46</v>
      </c>
    </row>
    <row r="17" spans="1:21">
      <c r="A17" s="3">
        <v>5827</v>
      </c>
      <c r="B17" s="3" t="s">
        <v>108</v>
      </c>
      <c r="C17" s="3" t="s">
        <v>37</v>
      </c>
      <c r="D17" s="3">
        <v>57</v>
      </c>
      <c r="E17" s="3" t="s">
        <v>68</v>
      </c>
      <c r="F17" s="3" t="s">
        <v>49</v>
      </c>
      <c r="G17" s="3" t="s">
        <v>72</v>
      </c>
      <c r="H17" s="3" t="s">
        <v>41</v>
      </c>
      <c r="I17" s="3" t="s">
        <v>109</v>
      </c>
      <c r="J17" s="3" t="s">
        <v>110</v>
      </c>
      <c r="K17" s="3" t="s">
        <v>111</v>
      </c>
      <c r="L17" s="3" t="s">
        <v>54</v>
      </c>
      <c r="M17" s="3">
        <v>96429</v>
      </c>
      <c r="N17" s="3" t="s">
        <v>31</v>
      </c>
      <c r="O17" s="3">
        <v>4740</v>
      </c>
      <c r="P17" s="3" t="s">
        <v>46</v>
      </c>
      <c r="Q17" s="3">
        <v>8</v>
      </c>
      <c r="R17" s="3">
        <v>1</v>
      </c>
      <c r="S17" s="3" t="s">
        <v>47</v>
      </c>
      <c r="T17" s="3" t="s">
        <v>66</v>
      </c>
      <c r="U17" s="3" t="s">
        <v>46</v>
      </c>
    </row>
    <row r="18" spans="1:21">
      <c r="A18" s="3">
        <v>5184</v>
      </c>
      <c r="B18" s="3" t="s">
        <v>112</v>
      </c>
      <c r="C18" s="3" t="s">
        <v>22</v>
      </c>
      <c r="D18" s="3">
        <v>24</v>
      </c>
      <c r="E18" s="3" t="s">
        <v>23</v>
      </c>
      <c r="F18" s="3" t="s">
        <v>39</v>
      </c>
      <c r="G18" s="3" t="s">
        <v>50</v>
      </c>
      <c r="H18" s="3" t="s">
        <v>51</v>
      </c>
      <c r="I18" s="3" t="s">
        <v>113</v>
      </c>
      <c r="J18" s="3" t="s">
        <v>114</v>
      </c>
      <c r="K18" s="3" t="s">
        <v>111</v>
      </c>
      <c r="L18" s="3" t="s">
        <v>54</v>
      </c>
      <c r="M18" s="3">
        <v>33183</v>
      </c>
      <c r="N18" s="3" t="s">
        <v>64</v>
      </c>
      <c r="O18" s="3">
        <v>8114</v>
      </c>
      <c r="P18" s="3" t="s">
        <v>46</v>
      </c>
      <c r="Q18" s="3">
        <v>4</v>
      </c>
      <c r="R18" s="3">
        <v>2</v>
      </c>
      <c r="S18" s="3" t="s">
        <v>47</v>
      </c>
      <c r="T18" s="3" t="s">
        <v>96</v>
      </c>
      <c r="U18" s="3" t="s">
        <v>57</v>
      </c>
    </row>
    <row r="19" spans="1:21">
      <c r="A19" s="3">
        <v>5874</v>
      </c>
      <c r="B19" s="3" t="s">
        <v>58</v>
      </c>
      <c r="C19" s="3" t="s">
        <v>22</v>
      </c>
      <c r="D19" s="3">
        <v>35</v>
      </c>
      <c r="E19" s="3" t="s">
        <v>38</v>
      </c>
      <c r="F19" s="3" t="s">
        <v>102</v>
      </c>
      <c r="G19" s="3" t="s">
        <v>72</v>
      </c>
      <c r="H19" s="3" t="s">
        <v>26</v>
      </c>
      <c r="I19" s="3" t="s">
        <v>115</v>
      </c>
      <c r="J19" s="3" t="s">
        <v>116</v>
      </c>
      <c r="K19" s="3" t="s">
        <v>111</v>
      </c>
      <c r="L19" s="3" t="s">
        <v>30</v>
      </c>
      <c r="M19" s="3">
        <v>75065</v>
      </c>
      <c r="N19" s="3" t="s">
        <v>31</v>
      </c>
      <c r="O19" s="3">
        <v>7123</v>
      </c>
      <c r="P19" s="3" t="s">
        <v>46</v>
      </c>
      <c r="Q19" s="3">
        <v>20</v>
      </c>
      <c r="R19" s="3">
        <v>2</v>
      </c>
      <c r="S19" s="3" t="s">
        <v>46</v>
      </c>
      <c r="T19" s="3" t="s">
        <v>34</v>
      </c>
      <c r="U19" s="3" t="s">
        <v>57</v>
      </c>
    </row>
    <row r="20" spans="1:21">
      <c r="A20" s="3">
        <v>9834</v>
      </c>
      <c r="B20" s="3" t="s">
        <v>117</v>
      </c>
      <c r="C20" s="3" t="s">
        <v>37</v>
      </c>
      <c r="D20" s="3">
        <v>41</v>
      </c>
      <c r="E20" s="3" t="s">
        <v>59</v>
      </c>
      <c r="F20" s="3" t="s">
        <v>39</v>
      </c>
      <c r="G20" s="3" t="s">
        <v>40</v>
      </c>
      <c r="H20" s="3" t="s">
        <v>81</v>
      </c>
      <c r="I20" s="3" t="s">
        <v>118</v>
      </c>
      <c r="J20" s="3" t="s">
        <v>119</v>
      </c>
      <c r="K20" s="3" t="s">
        <v>29</v>
      </c>
      <c r="L20" s="3" t="s">
        <v>54</v>
      </c>
      <c r="M20" s="3">
        <v>32877</v>
      </c>
      <c r="N20" s="3" t="s">
        <v>31</v>
      </c>
      <c r="O20" s="3">
        <v>6432</v>
      </c>
      <c r="P20" s="3" t="s">
        <v>32</v>
      </c>
      <c r="Q20" s="3">
        <v>11</v>
      </c>
      <c r="R20" s="3">
        <v>1</v>
      </c>
      <c r="S20" s="3" t="s">
        <v>46</v>
      </c>
      <c r="T20" s="3" t="s">
        <v>34</v>
      </c>
      <c r="U20" s="3" t="s">
        <v>46</v>
      </c>
    </row>
    <row r="21" spans="1:21">
      <c r="A21" s="3">
        <v>5096</v>
      </c>
      <c r="B21" s="3" t="s">
        <v>120</v>
      </c>
      <c r="C21" s="3" t="s">
        <v>37</v>
      </c>
      <c r="D21" s="3">
        <v>36</v>
      </c>
      <c r="E21" s="3" t="s">
        <v>59</v>
      </c>
      <c r="F21" s="3" t="s">
        <v>39</v>
      </c>
      <c r="G21" s="3" t="s">
        <v>121</v>
      </c>
      <c r="H21" s="3" t="s">
        <v>60</v>
      </c>
      <c r="I21" s="3" t="s">
        <v>122</v>
      </c>
      <c r="J21" s="3" t="s">
        <v>123</v>
      </c>
      <c r="K21" s="3" t="s">
        <v>29</v>
      </c>
      <c r="L21" s="3" t="s">
        <v>44</v>
      </c>
      <c r="M21" s="3">
        <v>46811</v>
      </c>
      <c r="N21" s="3" t="s">
        <v>55</v>
      </c>
      <c r="O21" s="3">
        <v>1567</v>
      </c>
      <c r="P21" s="3" t="s">
        <v>46</v>
      </c>
      <c r="Q21" s="3">
        <v>7</v>
      </c>
      <c r="R21" s="3">
        <v>3</v>
      </c>
      <c r="S21" s="3" t="s">
        <v>47</v>
      </c>
      <c r="T21" s="3" t="s">
        <v>34</v>
      </c>
      <c r="U21" s="3" t="s">
        <v>57</v>
      </c>
    </row>
    <row r="22" spans="1:21">
      <c r="A22" s="3">
        <v>2263</v>
      </c>
      <c r="B22" s="3" t="s">
        <v>124</v>
      </c>
      <c r="C22" s="3" t="s">
        <v>37</v>
      </c>
      <c r="D22" s="3">
        <v>31</v>
      </c>
      <c r="E22" s="3" t="s">
        <v>38</v>
      </c>
      <c r="F22" s="3" t="s">
        <v>80</v>
      </c>
      <c r="G22" s="3" t="s">
        <v>50</v>
      </c>
      <c r="H22" s="3" t="s">
        <v>41</v>
      </c>
      <c r="I22" s="3" t="s">
        <v>125</v>
      </c>
      <c r="J22" s="3" t="s">
        <v>126</v>
      </c>
      <c r="K22" s="3" t="s">
        <v>63</v>
      </c>
      <c r="L22" s="3" t="s">
        <v>44</v>
      </c>
      <c r="M22" s="3">
        <v>87538</v>
      </c>
      <c r="N22" s="3" t="s">
        <v>31</v>
      </c>
      <c r="O22" s="3">
        <v>3588</v>
      </c>
      <c r="P22" s="3" t="s">
        <v>65</v>
      </c>
      <c r="Q22" s="3">
        <v>11</v>
      </c>
      <c r="R22" s="3">
        <v>5</v>
      </c>
      <c r="S22" s="3" t="s">
        <v>47</v>
      </c>
      <c r="T22" s="3" t="s">
        <v>66</v>
      </c>
      <c r="U22" s="3" t="s">
        <v>46</v>
      </c>
    </row>
    <row r="23" spans="1:21">
      <c r="A23" s="3">
        <v>6505</v>
      </c>
      <c r="B23" s="3" t="s">
        <v>127</v>
      </c>
      <c r="C23" s="3" t="s">
        <v>22</v>
      </c>
      <c r="D23" s="3">
        <v>28</v>
      </c>
      <c r="E23" s="3" t="s">
        <v>38</v>
      </c>
      <c r="F23" s="3" t="s">
        <v>24</v>
      </c>
      <c r="G23" s="3" t="s">
        <v>40</v>
      </c>
      <c r="H23" s="3" t="s">
        <v>81</v>
      </c>
      <c r="I23" s="3" t="s">
        <v>128</v>
      </c>
      <c r="J23" s="3" t="s">
        <v>129</v>
      </c>
      <c r="K23" s="3" t="s">
        <v>29</v>
      </c>
      <c r="L23" s="3" t="s">
        <v>44</v>
      </c>
      <c r="M23" s="3">
        <v>73002</v>
      </c>
      <c r="N23" s="3" t="s">
        <v>31</v>
      </c>
      <c r="O23" s="3">
        <v>6296</v>
      </c>
      <c r="P23" s="3" t="s">
        <v>32</v>
      </c>
      <c r="Q23" s="3">
        <v>2</v>
      </c>
      <c r="R23" s="3">
        <v>5</v>
      </c>
      <c r="S23" s="3" t="s">
        <v>47</v>
      </c>
      <c r="T23" s="3" t="s">
        <v>56</v>
      </c>
      <c r="U23" s="3" t="s">
        <v>35</v>
      </c>
    </row>
    <row r="24" spans="1:21">
      <c r="A24" s="3">
        <v>8626</v>
      </c>
      <c r="B24" s="3" t="s">
        <v>130</v>
      </c>
      <c r="C24" s="3" t="s">
        <v>37</v>
      </c>
      <c r="D24" s="3">
        <v>37</v>
      </c>
      <c r="E24" s="3" t="s">
        <v>59</v>
      </c>
      <c r="F24" s="3" t="s">
        <v>80</v>
      </c>
      <c r="G24" s="3" t="s">
        <v>40</v>
      </c>
      <c r="H24" s="3" t="s">
        <v>60</v>
      </c>
      <c r="I24" s="3" t="s">
        <v>131</v>
      </c>
      <c r="J24" s="3" t="s">
        <v>132</v>
      </c>
      <c r="K24" s="3" t="s">
        <v>111</v>
      </c>
      <c r="L24" s="3" t="s">
        <v>54</v>
      </c>
      <c r="M24" s="3">
        <v>41653</v>
      </c>
      <c r="N24" s="3" t="s">
        <v>55</v>
      </c>
      <c r="O24" s="3">
        <v>9236</v>
      </c>
      <c r="P24" s="3" t="s">
        <v>46</v>
      </c>
      <c r="Q24" s="3">
        <v>13</v>
      </c>
      <c r="R24" s="3">
        <v>1</v>
      </c>
      <c r="S24" s="3" t="s">
        <v>47</v>
      </c>
      <c r="T24" s="3" t="s">
        <v>34</v>
      </c>
      <c r="U24" s="3" t="s">
        <v>46</v>
      </c>
    </row>
    <row r="25" spans="1:21">
      <c r="A25" s="3">
        <v>5979</v>
      </c>
      <c r="B25" s="3" t="s">
        <v>133</v>
      </c>
      <c r="C25" s="3" t="s">
        <v>22</v>
      </c>
      <c r="D25" s="3">
        <v>31</v>
      </c>
      <c r="E25" s="3" t="s">
        <v>38</v>
      </c>
      <c r="F25" s="3" t="s">
        <v>24</v>
      </c>
      <c r="G25" s="3" t="s">
        <v>25</v>
      </c>
      <c r="H25" s="3" t="s">
        <v>51</v>
      </c>
      <c r="I25" s="3" t="s">
        <v>134</v>
      </c>
      <c r="J25" s="3" t="s">
        <v>135</v>
      </c>
      <c r="K25" s="3" t="s">
        <v>63</v>
      </c>
      <c r="L25" s="3" t="s">
        <v>44</v>
      </c>
      <c r="M25" s="3">
        <v>67582</v>
      </c>
      <c r="N25" s="3" t="s">
        <v>64</v>
      </c>
      <c r="O25" s="3">
        <v>1375</v>
      </c>
      <c r="P25" s="3" t="s">
        <v>32</v>
      </c>
      <c r="Q25" s="3">
        <v>20</v>
      </c>
      <c r="R25" s="3">
        <v>3</v>
      </c>
      <c r="S25" s="3" t="s">
        <v>47</v>
      </c>
      <c r="T25" s="3" t="s">
        <v>56</v>
      </c>
      <c r="U25" s="3" t="s">
        <v>46</v>
      </c>
    </row>
    <row r="26" spans="1:21">
      <c r="A26" s="3">
        <v>3104</v>
      </c>
      <c r="B26" s="3" t="s">
        <v>136</v>
      </c>
      <c r="C26" s="3" t="s">
        <v>22</v>
      </c>
      <c r="D26" s="3">
        <v>23</v>
      </c>
      <c r="E26" s="3" t="s">
        <v>23</v>
      </c>
      <c r="F26" s="3" t="s">
        <v>80</v>
      </c>
      <c r="G26" s="3" t="s">
        <v>40</v>
      </c>
      <c r="H26" s="3" t="s">
        <v>41</v>
      </c>
      <c r="I26" s="3" t="s">
        <v>137</v>
      </c>
      <c r="J26" s="3" t="s">
        <v>138</v>
      </c>
      <c r="K26" s="3" t="s">
        <v>111</v>
      </c>
      <c r="L26" s="3" t="s">
        <v>44</v>
      </c>
      <c r="M26" s="3">
        <v>37351</v>
      </c>
      <c r="N26" s="3" t="s">
        <v>55</v>
      </c>
      <c r="O26" s="3">
        <v>7858</v>
      </c>
      <c r="P26" s="3" t="s">
        <v>65</v>
      </c>
      <c r="Q26" s="3">
        <v>18</v>
      </c>
      <c r="R26" s="3">
        <v>2</v>
      </c>
      <c r="S26" s="3" t="s">
        <v>33</v>
      </c>
      <c r="T26" s="3" t="s">
        <v>56</v>
      </c>
      <c r="U26" s="3" t="s">
        <v>57</v>
      </c>
    </row>
    <row r="27" spans="1:21">
      <c r="A27" s="3">
        <v>8967</v>
      </c>
      <c r="B27" s="3" t="s">
        <v>139</v>
      </c>
      <c r="C27" s="3" t="s">
        <v>22</v>
      </c>
      <c r="D27" s="3">
        <v>48</v>
      </c>
      <c r="E27" s="3" t="s">
        <v>98</v>
      </c>
      <c r="F27" s="3" t="s">
        <v>102</v>
      </c>
      <c r="G27" s="3" t="s">
        <v>50</v>
      </c>
      <c r="H27" s="3" t="s">
        <v>26</v>
      </c>
      <c r="I27" s="3" t="s">
        <v>140</v>
      </c>
      <c r="J27" s="3" t="s">
        <v>141</v>
      </c>
      <c r="K27" s="3" t="s">
        <v>29</v>
      </c>
      <c r="L27" s="3" t="s">
        <v>44</v>
      </c>
      <c r="M27" s="3">
        <v>36721</v>
      </c>
      <c r="N27" s="3" t="s">
        <v>45</v>
      </c>
      <c r="O27" s="3">
        <v>8820</v>
      </c>
      <c r="P27" s="3" t="s">
        <v>65</v>
      </c>
      <c r="Q27" s="3">
        <v>0</v>
      </c>
      <c r="R27" s="3">
        <v>2</v>
      </c>
      <c r="S27" s="3" t="s">
        <v>47</v>
      </c>
      <c r="T27" s="3" t="s">
        <v>56</v>
      </c>
      <c r="U27" s="3" t="s">
        <v>35</v>
      </c>
    </row>
    <row r="28" spans="1:21">
      <c r="A28" s="3">
        <v>5087</v>
      </c>
      <c r="B28" s="3" t="s">
        <v>142</v>
      </c>
      <c r="C28" s="3" t="s">
        <v>37</v>
      </c>
      <c r="D28" s="3">
        <v>28</v>
      </c>
      <c r="E28" s="3" t="s">
        <v>38</v>
      </c>
      <c r="F28" s="3" t="s">
        <v>49</v>
      </c>
      <c r="G28" s="3" t="s">
        <v>121</v>
      </c>
      <c r="H28" s="3" t="s">
        <v>26</v>
      </c>
      <c r="I28" s="3" t="s">
        <v>143</v>
      </c>
      <c r="J28" s="3" t="s">
        <v>144</v>
      </c>
      <c r="K28" s="3" t="s">
        <v>63</v>
      </c>
      <c r="L28" s="3" t="s">
        <v>54</v>
      </c>
      <c r="M28" s="3">
        <v>46326</v>
      </c>
      <c r="N28" s="3" t="s">
        <v>45</v>
      </c>
      <c r="O28" s="3">
        <v>9189</v>
      </c>
      <c r="P28" s="3" t="s">
        <v>65</v>
      </c>
      <c r="Q28" s="3">
        <v>8</v>
      </c>
      <c r="R28" s="3">
        <v>4</v>
      </c>
      <c r="S28" s="3" t="s">
        <v>33</v>
      </c>
      <c r="T28" s="3" t="s">
        <v>75</v>
      </c>
      <c r="U28" s="3" t="s">
        <v>57</v>
      </c>
    </row>
    <row r="29" spans="1:21">
      <c r="A29" s="3">
        <v>3358</v>
      </c>
      <c r="B29" s="3" t="s">
        <v>145</v>
      </c>
      <c r="C29" s="3" t="s">
        <v>37</v>
      </c>
      <c r="D29" s="3">
        <v>30</v>
      </c>
      <c r="E29" s="3" t="s">
        <v>38</v>
      </c>
      <c r="F29" s="3" t="s">
        <v>39</v>
      </c>
      <c r="G29" s="3" t="s">
        <v>72</v>
      </c>
      <c r="H29" s="3" t="s">
        <v>41</v>
      </c>
      <c r="I29" s="3" t="s">
        <v>146</v>
      </c>
      <c r="J29" s="3" t="s">
        <v>147</v>
      </c>
      <c r="K29" s="3" t="s">
        <v>29</v>
      </c>
      <c r="L29" s="3" t="s">
        <v>30</v>
      </c>
      <c r="M29" s="3">
        <v>59007</v>
      </c>
      <c r="N29" s="3" t="s">
        <v>31</v>
      </c>
      <c r="O29" s="3">
        <v>3380</v>
      </c>
      <c r="P29" s="3" t="s">
        <v>32</v>
      </c>
      <c r="Q29" s="3">
        <v>17</v>
      </c>
      <c r="R29" s="3">
        <v>3</v>
      </c>
      <c r="S29" s="3" t="s">
        <v>46</v>
      </c>
      <c r="T29" s="3" t="s">
        <v>96</v>
      </c>
      <c r="U29" s="3" t="s">
        <v>35</v>
      </c>
    </row>
    <row r="30" spans="1:21">
      <c r="A30" s="3">
        <v>8256</v>
      </c>
      <c r="B30" s="3" t="s">
        <v>148</v>
      </c>
      <c r="C30" s="3" t="s">
        <v>37</v>
      </c>
      <c r="D30" s="3">
        <v>46</v>
      </c>
      <c r="E30" s="3" t="s">
        <v>98</v>
      </c>
      <c r="F30" s="3" t="s">
        <v>80</v>
      </c>
      <c r="G30" s="3" t="s">
        <v>25</v>
      </c>
      <c r="H30" s="3" t="s">
        <v>60</v>
      </c>
      <c r="I30" s="3" t="s">
        <v>149</v>
      </c>
      <c r="J30" s="3" t="s">
        <v>150</v>
      </c>
      <c r="K30" s="3" t="s">
        <v>29</v>
      </c>
      <c r="L30" s="3" t="s">
        <v>44</v>
      </c>
      <c r="M30" s="3">
        <v>52020</v>
      </c>
      <c r="N30" s="3" t="s">
        <v>45</v>
      </c>
      <c r="O30" s="3">
        <v>9585</v>
      </c>
      <c r="P30" s="3" t="s">
        <v>65</v>
      </c>
      <c r="Q30" s="3">
        <v>0</v>
      </c>
      <c r="R30" s="3">
        <v>4</v>
      </c>
      <c r="S30" s="3" t="s">
        <v>47</v>
      </c>
      <c r="T30" s="3" t="s">
        <v>96</v>
      </c>
      <c r="U30" s="3" t="s">
        <v>46</v>
      </c>
    </row>
    <row r="31" spans="1:21">
      <c r="A31" s="3">
        <v>5763</v>
      </c>
      <c r="B31" s="3" t="s">
        <v>151</v>
      </c>
      <c r="C31" s="3" t="s">
        <v>37</v>
      </c>
      <c r="D31" s="3">
        <v>44</v>
      </c>
      <c r="E31" s="3" t="s">
        <v>59</v>
      </c>
      <c r="F31" s="3" t="s">
        <v>39</v>
      </c>
      <c r="G31" s="3" t="s">
        <v>50</v>
      </c>
      <c r="H31" s="3" t="s">
        <v>41</v>
      </c>
      <c r="I31" s="3" t="s">
        <v>152</v>
      </c>
      <c r="J31" s="3" t="s">
        <v>153</v>
      </c>
      <c r="K31" s="3" t="s">
        <v>111</v>
      </c>
      <c r="L31" s="3" t="s">
        <v>44</v>
      </c>
      <c r="M31" s="3">
        <v>98961</v>
      </c>
      <c r="N31" s="3" t="s">
        <v>55</v>
      </c>
      <c r="O31" s="3">
        <v>2688</v>
      </c>
      <c r="P31" s="3" t="s">
        <v>32</v>
      </c>
      <c r="Q31" s="3">
        <v>2</v>
      </c>
      <c r="R31" s="3">
        <v>5</v>
      </c>
      <c r="S31" s="3" t="s">
        <v>47</v>
      </c>
      <c r="T31" s="3" t="s">
        <v>96</v>
      </c>
      <c r="U31" s="3" t="s">
        <v>35</v>
      </c>
    </row>
    <row r="32" spans="1:21">
      <c r="A32" s="3">
        <v>6838</v>
      </c>
      <c r="B32" s="3" t="s">
        <v>154</v>
      </c>
      <c r="C32" s="3" t="s">
        <v>37</v>
      </c>
      <c r="D32" s="3">
        <v>45</v>
      </c>
      <c r="E32" s="3" t="s">
        <v>59</v>
      </c>
      <c r="F32" s="3" t="s">
        <v>49</v>
      </c>
      <c r="G32" s="3" t="s">
        <v>72</v>
      </c>
      <c r="H32" s="3" t="s">
        <v>51</v>
      </c>
      <c r="I32" s="3" t="s">
        <v>155</v>
      </c>
      <c r="J32" s="3" t="s">
        <v>156</v>
      </c>
      <c r="K32" s="3" t="s">
        <v>111</v>
      </c>
      <c r="L32" s="3" t="s">
        <v>44</v>
      </c>
      <c r="M32" s="3">
        <v>81943</v>
      </c>
      <c r="N32" s="3" t="s">
        <v>31</v>
      </c>
      <c r="O32" s="3">
        <v>2255</v>
      </c>
      <c r="P32" s="3" t="s">
        <v>32</v>
      </c>
      <c r="Q32" s="3">
        <v>18</v>
      </c>
      <c r="R32" s="3">
        <v>2</v>
      </c>
      <c r="S32" s="3" t="s">
        <v>46</v>
      </c>
      <c r="T32" s="3" t="s">
        <v>66</v>
      </c>
      <c r="U32" s="3" t="s">
        <v>35</v>
      </c>
    </row>
    <row r="33" spans="1:21">
      <c r="A33" s="3">
        <v>9544</v>
      </c>
      <c r="B33" s="3" t="s">
        <v>157</v>
      </c>
      <c r="C33" s="3" t="s">
        <v>37</v>
      </c>
      <c r="D33" s="3">
        <v>52</v>
      </c>
      <c r="E33" s="3" t="s">
        <v>98</v>
      </c>
      <c r="F33" s="3" t="s">
        <v>102</v>
      </c>
      <c r="G33" s="3" t="s">
        <v>50</v>
      </c>
      <c r="H33" s="3" t="s">
        <v>41</v>
      </c>
      <c r="I33" s="3" t="s">
        <v>158</v>
      </c>
      <c r="J33" s="3" t="s">
        <v>159</v>
      </c>
      <c r="K33" s="3" t="s">
        <v>111</v>
      </c>
      <c r="L33" s="3" t="s">
        <v>44</v>
      </c>
      <c r="M33" s="3">
        <v>47627</v>
      </c>
      <c r="N33" s="3" t="s">
        <v>31</v>
      </c>
      <c r="O33" s="3">
        <v>1221</v>
      </c>
      <c r="P33" s="3" t="s">
        <v>46</v>
      </c>
      <c r="Q33" s="3">
        <v>4</v>
      </c>
      <c r="R33" s="3">
        <v>3</v>
      </c>
      <c r="S33" s="3" t="s">
        <v>46</v>
      </c>
      <c r="T33" s="3" t="s">
        <v>56</v>
      </c>
      <c r="U33" s="3" t="s">
        <v>46</v>
      </c>
    </row>
    <row r="34" spans="1:21">
      <c r="A34" s="3">
        <v>8012</v>
      </c>
      <c r="B34" s="3" t="s">
        <v>160</v>
      </c>
      <c r="C34" s="3" t="s">
        <v>22</v>
      </c>
      <c r="D34" s="3">
        <v>52</v>
      </c>
      <c r="E34" s="3" t="s">
        <v>98</v>
      </c>
      <c r="F34" s="3" t="s">
        <v>24</v>
      </c>
      <c r="G34" s="3" t="s">
        <v>25</v>
      </c>
      <c r="H34" s="3" t="s">
        <v>81</v>
      </c>
      <c r="I34" s="3" t="s">
        <v>161</v>
      </c>
      <c r="J34" s="3" t="s">
        <v>162</v>
      </c>
      <c r="K34" s="3" t="s">
        <v>111</v>
      </c>
      <c r="L34" s="3" t="s">
        <v>44</v>
      </c>
      <c r="M34" s="3">
        <v>56162</v>
      </c>
      <c r="N34" s="3" t="s">
        <v>55</v>
      </c>
      <c r="O34" s="3">
        <v>6560</v>
      </c>
      <c r="P34" s="3" t="s">
        <v>65</v>
      </c>
      <c r="Q34" s="3">
        <v>9</v>
      </c>
      <c r="R34" s="3">
        <v>4</v>
      </c>
      <c r="S34" s="3" t="s">
        <v>47</v>
      </c>
      <c r="T34" s="3" t="s">
        <v>75</v>
      </c>
      <c r="U34" s="3" t="s">
        <v>46</v>
      </c>
    </row>
    <row r="35" spans="1:21">
      <c r="A35" s="3">
        <v>9374</v>
      </c>
      <c r="B35" s="3" t="s">
        <v>163</v>
      </c>
      <c r="C35" s="3" t="s">
        <v>22</v>
      </c>
      <c r="D35" s="3">
        <v>42</v>
      </c>
      <c r="E35" s="3" t="s">
        <v>59</v>
      </c>
      <c r="F35" s="3" t="s">
        <v>39</v>
      </c>
      <c r="G35" s="3" t="s">
        <v>50</v>
      </c>
      <c r="H35" s="3" t="s">
        <v>51</v>
      </c>
      <c r="I35" s="3" t="s">
        <v>164</v>
      </c>
      <c r="J35" s="3" t="s">
        <v>165</v>
      </c>
      <c r="K35" s="3" t="s">
        <v>63</v>
      </c>
      <c r="L35" s="3" t="s">
        <v>54</v>
      </c>
      <c r="M35" s="3">
        <v>95734</v>
      </c>
      <c r="N35" s="3" t="s">
        <v>31</v>
      </c>
      <c r="O35" s="3">
        <v>4854</v>
      </c>
      <c r="P35" s="3" t="s">
        <v>32</v>
      </c>
      <c r="Q35" s="3">
        <v>13</v>
      </c>
      <c r="R35" s="3">
        <v>2</v>
      </c>
      <c r="S35" s="3" t="s">
        <v>33</v>
      </c>
      <c r="T35" s="3" t="s">
        <v>34</v>
      </c>
      <c r="U35" s="3" t="s">
        <v>35</v>
      </c>
    </row>
    <row r="36" spans="1:21">
      <c r="A36" s="3">
        <v>3487</v>
      </c>
      <c r="B36" s="3" t="s">
        <v>166</v>
      </c>
      <c r="C36" s="3" t="s">
        <v>37</v>
      </c>
      <c r="D36" s="3">
        <v>58</v>
      </c>
      <c r="E36" s="3" t="s">
        <v>68</v>
      </c>
      <c r="F36" s="3" t="s">
        <v>39</v>
      </c>
      <c r="G36" s="3" t="s">
        <v>40</v>
      </c>
      <c r="H36" s="3" t="s">
        <v>60</v>
      </c>
      <c r="I36" s="3" t="s">
        <v>167</v>
      </c>
      <c r="J36" s="3" t="s">
        <v>168</v>
      </c>
      <c r="K36" s="3" t="s">
        <v>63</v>
      </c>
      <c r="L36" s="3" t="s">
        <v>54</v>
      </c>
      <c r="M36" s="3">
        <v>74789</v>
      </c>
      <c r="N36" s="3" t="s">
        <v>31</v>
      </c>
      <c r="O36" s="3">
        <v>8101</v>
      </c>
      <c r="P36" s="3" t="s">
        <v>65</v>
      </c>
      <c r="Q36" s="3">
        <v>14</v>
      </c>
      <c r="R36" s="3">
        <v>5</v>
      </c>
      <c r="S36" s="3" t="s">
        <v>47</v>
      </c>
      <c r="T36" s="3" t="s">
        <v>66</v>
      </c>
      <c r="U36" s="3" t="s">
        <v>46</v>
      </c>
    </row>
    <row r="37" spans="1:21">
      <c r="A37" s="3">
        <v>8445</v>
      </c>
      <c r="B37" s="3" t="s">
        <v>169</v>
      </c>
      <c r="C37" s="3" t="s">
        <v>22</v>
      </c>
      <c r="D37" s="3">
        <v>24</v>
      </c>
      <c r="E37" s="3" t="s">
        <v>23</v>
      </c>
      <c r="F37" s="3" t="s">
        <v>102</v>
      </c>
      <c r="G37" s="3" t="s">
        <v>25</v>
      </c>
      <c r="H37" s="3" t="s">
        <v>60</v>
      </c>
      <c r="I37" s="3" t="s">
        <v>170</v>
      </c>
      <c r="J37" s="3" t="s">
        <v>171</v>
      </c>
      <c r="K37" s="3" t="s">
        <v>29</v>
      </c>
      <c r="L37" s="3" t="s">
        <v>54</v>
      </c>
      <c r="M37" s="3">
        <v>30137</v>
      </c>
      <c r="N37" s="3" t="s">
        <v>45</v>
      </c>
      <c r="O37" s="3">
        <v>4031</v>
      </c>
      <c r="P37" s="3" t="s">
        <v>46</v>
      </c>
      <c r="Q37" s="3">
        <v>5</v>
      </c>
      <c r="R37" s="3">
        <v>3</v>
      </c>
      <c r="S37" s="3" t="s">
        <v>46</v>
      </c>
      <c r="T37" s="3" t="s">
        <v>56</v>
      </c>
      <c r="U37" s="3" t="s">
        <v>35</v>
      </c>
    </row>
    <row r="38" spans="1:21">
      <c r="A38" s="3">
        <v>1550</v>
      </c>
      <c r="B38" s="3" t="s">
        <v>172</v>
      </c>
      <c r="C38" s="3" t="s">
        <v>37</v>
      </c>
      <c r="D38" s="3">
        <v>21</v>
      </c>
      <c r="E38" s="3" t="s">
        <v>23</v>
      </c>
      <c r="F38" s="3" t="s">
        <v>39</v>
      </c>
      <c r="G38" s="3" t="s">
        <v>25</v>
      </c>
      <c r="H38" s="3" t="s">
        <v>26</v>
      </c>
      <c r="I38" s="3" t="s">
        <v>173</v>
      </c>
      <c r="J38" s="3" t="s">
        <v>174</v>
      </c>
      <c r="K38" s="3" t="s">
        <v>29</v>
      </c>
      <c r="L38" s="3" t="s">
        <v>54</v>
      </c>
      <c r="M38" s="3">
        <v>95510</v>
      </c>
      <c r="N38" s="3" t="s">
        <v>31</v>
      </c>
      <c r="O38" s="3">
        <v>6811</v>
      </c>
      <c r="P38" s="3" t="s">
        <v>32</v>
      </c>
      <c r="Q38" s="3">
        <v>18</v>
      </c>
      <c r="R38" s="3">
        <v>4</v>
      </c>
      <c r="S38" s="3" t="s">
        <v>47</v>
      </c>
      <c r="T38" s="3" t="s">
        <v>96</v>
      </c>
      <c r="U38" s="3" t="s">
        <v>35</v>
      </c>
    </row>
    <row r="39" spans="1:21">
      <c r="A39" s="3">
        <v>9968</v>
      </c>
      <c r="B39" s="3" t="s">
        <v>175</v>
      </c>
      <c r="C39" s="3" t="s">
        <v>37</v>
      </c>
      <c r="D39" s="3">
        <v>58</v>
      </c>
      <c r="E39" s="3" t="s">
        <v>68</v>
      </c>
      <c r="F39" s="3" t="s">
        <v>39</v>
      </c>
      <c r="G39" s="3" t="s">
        <v>72</v>
      </c>
      <c r="H39" s="3" t="s">
        <v>26</v>
      </c>
      <c r="I39" s="3" t="s">
        <v>176</v>
      </c>
      <c r="J39" s="3" t="s">
        <v>177</v>
      </c>
      <c r="K39" s="3" t="s">
        <v>63</v>
      </c>
      <c r="L39" s="3" t="s">
        <v>30</v>
      </c>
      <c r="M39" s="3">
        <v>80325</v>
      </c>
      <c r="N39" s="3" t="s">
        <v>45</v>
      </c>
      <c r="O39" s="3">
        <v>6230</v>
      </c>
      <c r="P39" s="3" t="s">
        <v>32</v>
      </c>
      <c r="Q39" s="3">
        <v>5</v>
      </c>
      <c r="R39" s="3">
        <v>4</v>
      </c>
      <c r="S39" s="3" t="s">
        <v>46</v>
      </c>
      <c r="T39" s="3" t="s">
        <v>66</v>
      </c>
      <c r="U39" s="3" t="s">
        <v>57</v>
      </c>
    </row>
    <row r="40" spans="1:21">
      <c r="A40" s="3">
        <v>8029</v>
      </c>
      <c r="B40" s="3" t="s">
        <v>178</v>
      </c>
      <c r="C40" s="3" t="s">
        <v>22</v>
      </c>
      <c r="D40" s="3">
        <v>57</v>
      </c>
      <c r="E40" s="3" t="s">
        <v>68</v>
      </c>
      <c r="F40" s="3" t="s">
        <v>80</v>
      </c>
      <c r="G40" s="3" t="s">
        <v>121</v>
      </c>
      <c r="H40" s="3" t="s">
        <v>81</v>
      </c>
      <c r="I40" s="3" t="s">
        <v>179</v>
      </c>
      <c r="J40" s="3" t="s">
        <v>180</v>
      </c>
      <c r="K40" s="3" t="s">
        <v>111</v>
      </c>
      <c r="L40" s="3" t="s">
        <v>44</v>
      </c>
      <c r="M40" s="3">
        <v>34109</v>
      </c>
      <c r="N40" s="3" t="s">
        <v>45</v>
      </c>
      <c r="O40" s="3">
        <v>9232</v>
      </c>
      <c r="P40" s="3" t="s">
        <v>32</v>
      </c>
      <c r="Q40" s="3">
        <v>13</v>
      </c>
      <c r="R40" s="3">
        <v>3</v>
      </c>
      <c r="S40" s="3" t="s">
        <v>33</v>
      </c>
      <c r="T40" s="3" t="s">
        <v>34</v>
      </c>
      <c r="U40" s="3" t="s">
        <v>35</v>
      </c>
    </row>
    <row r="41" spans="1:21">
      <c r="A41" s="3">
        <v>8847</v>
      </c>
      <c r="B41" s="3" t="s">
        <v>181</v>
      </c>
      <c r="C41" s="3" t="s">
        <v>37</v>
      </c>
      <c r="D41" s="3">
        <v>41</v>
      </c>
      <c r="E41" s="3" t="s">
        <v>59</v>
      </c>
      <c r="F41" s="3" t="s">
        <v>80</v>
      </c>
      <c r="G41" s="3" t="s">
        <v>72</v>
      </c>
      <c r="H41" s="3" t="s">
        <v>26</v>
      </c>
      <c r="I41" s="3" t="s">
        <v>182</v>
      </c>
      <c r="J41" s="3" t="s">
        <v>183</v>
      </c>
      <c r="K41" s="3" t="s">
        <v>111</v>
      </c>
      <c r="L41" s="3" t="s">
        <v>54</v>
      </c>
      <c r="M41" s="3">
        <v>73330</v>
      </c>
      <c r="N41" s="3" t="s">
        <v>31</v>
      </c>
      <c r="O41" s="3">
        <v>2276</v>
      </c>
      <c r="P41" s="3" t="s">
        <v>65</v>
      </c>
      <c r="Q41" s="3">
        <v>5</v>
      </c>
      <c r="R41" s="3">
        <v>1</v>
      </c>
      <c r="S41" s="3" t="s">
        <v>46</v>
      </c>
      <c r="T41" s="3" t="s">
        <v>56</v>
      </c>
      <c r="U41" s="3" t="s">
        <v>57</v>
      </c>
    </row>
    <row r="42" spans="1:21">
      <c r="A42" s="3">
        <v>1955</v>
      </c>
      <c r="B42" s="3" t="s">
        <v>184</v>
      </c>
      <c r="C42" s="3" t="s">
        <v>22</v>
      </c>
      <c r="D42" s="3">
        <v>58</v>
      </c>
      <c r="E42" s="3" t="s">
        <v>68</v>
      </c>
      <c r="F42" s="3" t="s">
        <v>49</v>
      </c>
      <c r="G42" s="3" t="s">
        <v>50</v>
      </c>
      <c r="H42" s="3" t="s">
        <v>41</v>
      </c>
      <c r="I42" s="3" t="s">
        <v>185</v>
      </c>
      <c r="J42" s="3" t="s">
        <v>186</v>
      </c>
      <c r="K42" s="3" t="s">
        <v>63</v>
      </c>
      <c r="L42" s="3" t="s">
        <v>54</v>
      </c>
      <c r="M42" s="3">
        <v>46567</v>
      </c>
      <c r="N42" s="3" t="s">
        <v>64</v>
      </c>
      <c r="O42" s="3">
        <v>2825</v>
      </c>
      <c r="P42" s="3" t="s">
        <v>32</v>
      </c>
      <c r="Q42" s="3">
        <v>15</v>
      </c>
      <c r="R42" s="3">
        <v>3</v>
      </c>
      <c r="S42" s="3" t="s">
        <v>46</v>
      </c>
      <c r="T42" s="3" t="s">
        <v>96</v>
      </c>
      <c r="U42" s="3" t="s">
        <v>57</v>
      </c>
    </row>
    <row r="43" spans="1:21">
      <c r="A43" s="3">
        <v>4522</v>
      </c>
      <c r="B43" s="3" t="s">
        <v>187</v>
      </c>
      <c r="C43" s="3" t="s">
        <v>22</v>
      </c>
      <c r="D43" s="3">
        <v>36</v>
      </c>
      <c r="E43" s="3" t="s">
        <v>59</v>
      </c>
      <c r="F43" s="3" t="s">
        <v>24</v>
      </c>
      <c r="G43" s="3" t="s">
        <v>121</v>
      </c>
      <c r="H43" s="3" t="s">
        <v>26</v>
      </c>
      <c r="I43" s="3" t="s">
        <v>188</v>
      </c>
      <c r="J43" s="3" t="s">
        <v>189</v>
      </c>
      <c r="K43" s="3" t="s">
        <v>63</v>
      </c>
      <c r="L43" s="3" t="s">
        <v>44</v>
      </c>
      <c r="M43" s="3">
        <v>39795</v>
      </c>
      <c r="N43" s="3" t="s">
        <v>64</v>
      </c>
      <c r="O43" s="3">
        <v>1670</v>
      </c>
      <c r="P43" s="3" t="s">
        <v>46</v>
      </c>
      <c r="Q43" s="3">
        <v>0</v>
      </c>
      <c r="R43" s="3">
        <v>2</v>
      </c>
      <c r="S43" s="3" t="s">
        <v>47</v>
      </c>
      <c r="T43" s="3" t="s">
        <v>75</v>
      </c>
      <c r="U43" s="3" t="s">
        <v>46</v>
      </c>
    </row>
    <row r="44" spans="1:21">
      <c r="A44" s="3">
        <v>3078</v>
      </c>
      <c r="B44" s="3" t="s">
        <v>190</v>
      </c>
      <c r="C44" s="3" t="s">
        <v>22</v>
      </c>
      <c r="D44" s="3">
        <v>21</v>
      </c>
      <c r="E44" s="3" t="s">
        <v>23</v>
      </c>
      <c r="F44" s="3" t="s">
        <v>24</v>
      </c>
      <c r="G44" s="3" t="s">
        <v>25</v>
      </c>
      <c r="H44" s="3" t="s">
        <v>81</v>
      </c>
      <c r="I44" s="3" t="s">
        <v>191</v>
      </c>
      <c r="J44" s="3" t="s">
        <v>192</v>
      </c>
      <c r="K44" s="3" t="s">
        <v>63</v>
      </c>
      <c r="L44" s="3" t="s">
        <v>54</v>
      </c>
      <c r="M44" s="3">
        <v>59506</v>
      </c>
      <c r="N44" s="3" t="s">
        <v>64</v>
      </c>
      <c r="O44" s="3">
        <v>4428</v>
      </c>
      <c r="P44" s="3" t="s">
        <v>65</v>
      </c>
      <c r="Q44" s="3">
        <v>0</v>
      </c>
      <c r="R44" s="3">
        <v>1</v>
      </c>
      <c r="S44" s="3" t="s">
        <v>46</v>
      </c>
      <c r="T44" s="3" t="s">
        <v>75</v>
      </c>
      <c r="U44" s="3" t="s">
        <v>35</v>
      </c>
    </row>
    <row r="45" spans="1:21">
      <c r="A45" s="3">
        <v>6357</v>
      </c>
      <c r="B45" s="3" t="s">
        <v>193</v>
      </c>
      <c r="C45" s="3" t="s">
        <v>22</v>
      </c>
      <c r="D45" s="3">
        <v>46</v>
      </c>
      <c r="E45" s="3" t="s">
        <v>98</v>
      </c>
      <c r="F45" s="3" t="s">
        <v>49</v>
      </c>
      <c r="G45" s="3" t="s">
        <v>40</v>
      </c>
      <c r="H45" s="3" t="s">
        <v>81</v>
      </c>
      <c r="I45" s="3" t="s">
        <v>194</v>
      </c>
      <c r="J45" s="3" t="s">
        <v>195</v>
      </c>
      <c r="K45" s="3" t="s">
        <v>63</v>
      </c>
      <c r="L45" s="3" t="s">
        <v>54</v>
      </c>
      <c r="M45" s="3">
        <v>49058</v>
      </c>
      <c r="N45" s="3" t="s">
        <v>45</v>
      </c>
      <c r="O45" s="3">
        <v>4396</v>
      </c>
      <c r="P45" s="3" t="s">
        <v>46</v>
      </c>
      <c r="Q45" s="3">
        <v>5</v>
      </c>
      <c r="R45" s="3">
        <v>1</v>
      </c>
      <c r="S45" s="3" t="s">
        <v>46</v>
      </c>
      <c r="T45" s="3" t="s">
        <v>75</v>
      </c>
      <c r="U45" s="3" t="s">
        <v>46</v>
      </c>
    </row>
    <row r="46" spans="1:21">
      <c r="A46" s="3">
        <v>7951</v>
      </c>
      <c r="B46" s="3" t="s">
        <v>196</v>
      </c>
      <c r="C46" s="3" t="s">
        <v>22</v>
      </c>
      <c r="D46" s="3">
        <v>36</v>
      </c>
      <c r="E46" s="3" t="s">
        <v>59</v>
      </c>
      <c r="F46" s="3" t="s">
        <v>80</v>
      </c>
      <c r="G46" s="3" t="s">
        <v>50</v>
      </c>
      <c r="H46" s="3" t="s">
        <v>81</v>
      </c>
      <c r="I46" s="3" t="s">
        <v>197</v>
      </c>
      <c r="J46" s="3" t="s">
        <v>198</v>
      </c>
      <c r="K46" s="3" t="s">
        <v>63</v>
      </c>
      <c r="L46" s="3" t="s">
        <v>30</v>
      </c>
      <c r="M46" s="3">
        <v>98612</v>
      </c>
      <c r="N46" s="3" t="s">
        <v>64</v>
      </c>
      <c r="O46" s="3">
        <v>1168</v>
      </c>
      <c r="P46" s="3" t="s">
        <v>46</v>
      </c>
      <c r="Q46" s="3">
        <v>9</v>
      </c>
      <c r="R46" s="3">
        <v>2</v>
      </c>
      <c r="S46" s="3" t="s">
        <v>47</v>
      </c>
      <c r="T46" s="3" t="s">
        <v>34</v>
      </c>
      <c r="U46" s="3" t="s">
        <v>35</v>
      </c>
    </row>
    <row r="47" spans="1:21">
      <c r="A47" s="3">
        <v>9228</v>
      </c>
      <c r="B47" s="3" t="s">
        <v>199</v>
      </c>
      <c r="C47" s="3" t="s">
        <v>37</v>
      </c>
      <c r="D47" s="3">
        <v>41</v>
      </c>
      <c r="E47" s="3" t="s">
        <v>59</v>
      </c>
      <c r="F47" s="3" t="s">
        <v>102</v>
      </c>
      <c r="G47" s="3" t="s">
        <v>72</v>
      </c>
      <c r="H47" s="3" t="s">
        <v>41</v>
      </c>
      <c r="I47" s="3" t="s">
        <v>200</v>
      </c>
      <c r="J47" s="3" t="s">
        <v>201</v>
      </c>
      <c r="K47" s="3" t="s">
        <v>111</v>
      </c>
      <c r="L47" s="3" t="s">
        <v>44</v>
      </c>
      <c r="M47" s="3">
        <v>38201</v>
      </c>
      <c r="N47" s="3" t="s">
        <v>64</v>
      </c>
      <c r="O47" s="3">
        <v>7111</v>
      </c>
      <c r="P47" s="3" t="s">
        <v>32</v>
      </c>
      <c r="Q47" s="3">
        <v>8</v>
      </c>
      <c r="R47" s="3">
        <v>4</v>
      </c>
      <c r="S47" s="3" t="s">
        <v>33</v>
      </c>
      <c r="T47" s="3" t="s">
        <v>75</v>
      </c>
      <c r="U47" s="3" t="s">
        <v>46</v>
      </c>
    </row>
    <row r="48" spans="1:21">
      <c r="A48" s="3">
        <v>8988</v>
      </c>
      <c r="B48" s="3" t="s">
        <v>202</v>
      </c>
      <c r="C48" s="3" t="s">
        <v>37</v>
      </c>
      <c r="D48" s="3">
        <v>25</v>
      </c>
      <c r="E48" s="3" t="s">
        <v>23</v>
      </c>
      <c r="F48" s="3" t="s">
        <v>24</v>
      </c>
      <c r="G48" s="3" t="s">
        <v>50</v>
      </c>
      <c r="H48" s="3" t="s">
        <v>51</v>
      </c>
      <c r="I48" s="3" t="s">
        <v>203</v>
      </c>
      <c r="J48" s="3" t="s">
        <v>204</v>
      </c>
      <c r="K48" s="3" t="s">
        <v>111</v>
      </c>
      <c r="L48" s="3" t="s">
        <v>44</v>
      </c>
      <c r="M48" s="3">
        <v>92919</v>
      </c>
      <c r="N48" s="3" t="s">
        <v>55</v>
      </c>
      <c r="O48" s="3">
        <v>9497</v>
      </c>
      <c r="P48" s="3" t="s">
        <v>32</v>
      </c>
      <c r="Q48" s="3">
        <v>7</v>
      </c>
      <c r="R48" s="3">
        <v>2</v>
      </c>
      <c r="S48" s="3" t="s">
        <v>46</v>
      </c>
      <c r="T48" s="3" t="s">
        <v>75</v>
      </c>
      <c r="U48" s="3" t="s">
        <v>57</v>
      </c>
    </row>
    <row r="49" spans="1:21">
      <c r="A49" s="3">
        <v>1952</v>
      </c>
      <c r="B49" s="3" t="s">
        <v>205</v>
      </c>
      <c r="C49" s="3" t="s">
        <v>22</v>
      </c>
      <c r="D49" s="3">
        <v>29</v>
      </c>
      <c r="E49" s="3" t="s">
        <v>38</v>
      </c>
      <c r="F49" s="3" t="s">
        <v>102</v>
      </c>
      <c r="G49" s="3" t="s">
        <v>25</v>
      </c>
      <c r="H49" s="3" t="s">
        <v>41</v>
      </c>
      <c r="I49" s="3" t="s">
        <v>206</v>
      </c>
      <c r="J49" s="3" t="s">
        <v>207</v>
      </c>
      <c r="K49" s="3" t="s">
        <v>29</v>
      </c>
      <c r="L49" s="3" t="s">
        <v>54</v>
      </c>
      <c r="M49" s="3">
        <v>45188</v>
      </c>
      <c r="N49" s="3" t="s">
        <v>64</v>
      </c>
      <c r="O49" s="3">
        <v>9591</v>
      </c>
      <c r="P49" s="3" t="s">
        <v>65</v>
      </c>
      <c r="Q49" s="3">
        <v>18</v>
      </c>
      <c r="R49" s="3">
        <v>3</v>
      </c>
      <c r="S49" s="3" t="s">
        <v>33</v>
      </c>
      <c r="T49" s="3" t="s">
        <v>75</v>
      </c>
      <c r="U49" s="3" t="s">
        <v>46</v>
      </c>
    </row>
    <row r="50" spans="1:21">
      <c r="A50" s="3">
        <v>5760</v>
      </c>
      <c r="B50" s="3" t="s">
        <v>208</v>
      </c>
      <c r="C50" s="3" t="s">
        <v>22</v>
      </c>
      <c r="D50" s="3">
        <v>59</v>
      </c>
      <c r="E50" s="3" t="s">
        <v>68</v>
      </c>
      <c r="F50" s="3" t="s">
        <v>49</v>
      </c>
      <c r="G50" s="3" t="s">
        <v>40</v>
      </c>
      <c r="H50" s="3" t="s">
        <v>26</v>
      </c>
      <c r="I50" s="3" t="s">
        <v>209</v>
      </c>
      <c r="J50" s="3" t="s">
        <v>210</v>
      </c>
      <c r="K50" s="3" t="s">
        <v>29</v>
      </c>
      <c r="L50" s="3" t="s">
        <v>44</v>
      </c>
      <c r="M50" s="3">
        <v>34927</v>
      </c>
      <c r="N50" s="3" t="s">
        <v>55</v>
      </c>
      <c r="O50" s="3">
        <v>6996</v>
      </c>
      <c r="P50" s="3" t="s">
        <v>65</v>
      </c>
      <c r="Q50" s="3">
        <v>16</v>
      </c>
      <c r="R50" s="3">
        <v>1</v>
      </c>
      <c r="S50" s="3" t="s">
        <v>47</v>
      </c>
      <c r="T50" s="3" t="s">
        <v>34</v>
      </c>
      <c r="U50" s="3" t="s">
        <v>35</v>
      </c>
    </row>
    <row r="51" spans="1:21">
      <c r="A51" s="3">
        <v>5742</v>
      </c>
      <c r="B51" s="3" t="s">
        <v>211</v>
      </c>
      <c r="C51" s="3" t="s">
        <v>22</v>
      </c>
      <c r="D51" s="3">
        <v>27</v>
      </c>
      <c r="E51" s="3" t="s">
        <v>38</v>
      </c>
      <c r="F51" s="3" t="s">
        <v>24</v>
      </c>
      <c r="G51" s="3" t="s">
        <v>50</v>
      </c>
      <c r="H51" s="3" t="s">
        <v>60</v>
      </c>
      <c r="I51" s="3" t="s">
        <v>212</v>
      </c>
      <c r="J51" s="3" t="s">
        <v>213</v>
      </c>
      <c r="K51" s="3" t="s">
        <v>29</v>
      </c>
      <c r="L51" s="3" t="s">
        <v>44</v>
      </c>
      <c r="M51" s="3">
        <v>33183</v>
      </c>
      <c r="N51" s="3" t="s">
        <v>64</v>
      </c>
      <c r="O51" s="3">
        <v>1659</v>
      </c>
      <c r="P51" s="3" t="s">
        <v>46</v>
      </c>
      <c r="Q51" s="3">
        <v>11</v>
      </c>
      <c r="R51" s="3">
        <v>1</v>
      </c>
      <c r="S51" s="3" t="s">
        <v>33</v>
      </c>
      <c r="T51" s="3" t="s">
        <v>66</v>
      </c>
      <c r="U51" s="3"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07C7C-10F6-4521-9DF6-5AEBC07F5F57}">
  <dimension ref="A1:I31"/>
  <sheetViews>
    <sheetView topLeftCell="A13" workbookViewId="0">
      <selection activeCell="C20" sqref="C20"/>
    </sheetView>
  </sheetViews>
  <sheetFormatPr defaultRowHeight="14.4"/>
  <cols>
    <col min="1" max="1" width="12.44140625" bestFit="1" customWidth="1"/>
    <col min="2" max="2" width="13.88671875" bestFit="1" customWidth="1"/>
    <col min="3" max="3" width="16.6640625" bestFit="1" customWidth="1"/>
    <col min="4" max="5" width="12.44140625" bestFit="1" customWidth="1"/>
    <col min="6" max="6" width="16.6640625" bestFit="1" customWidth="1"/>
    <col min="7" max="7" width="10.5546875" bestFit="1" customWidth="1"/>
  </cols>
  <sheetData>
    <row r="1" spans="1:9">
      <c r="A1" s="8" t="s">
        <v>217</v>
      </c>
      <c r="B1" s="8"/>
    </row>
    <row r="2" spans="1:9">
      <c r="A2" s="6" t="s">
        <v>215</v>
      </c>
      <c r="B2" t="s">
        <v>214</v>
      </c>
      <c r="D2" s="6" t="s">
        <v>220</v>
      </c>
      <c r="E2" s="6" t="s">
        <v>219</v>
      </c>
    </row>
    <row r="3" spans="1:9">
      <c r="A3" s="7" t="s">
        <v>63</v>
      </c>
      <c r="B3" s="5">
        <v>17</v>
      </c>
      <c r="D3" s="6" t="s">
        <v>215</v>
      </c>
      <c r="E3" t="s">
        <v>22</v>
      </c>
      <c r="F3" t="s">
        <v>37</v>
      </c>
      <c r="G3" t="s">
        <v>216</v>
      </c>
    </row>
    <row r="4" spans="1:9">
      <c r="A4" s="7" t="s">
        <v>29</v>
      </c>
      <c r="B4" s="5">
        <v>20</v>
      </c>
      <c r="D4" s="7" t="s">
        <v>23</v>
      </c>
      <c r="E4" s="5">
        <v>6</v>
      </c>
      <c r="F4" s="5">
        <v>3</v>
      </c>
      <c r="G4" s="5">
        <v>9</v>
      </c>
    </row>
    <row r="5" spans="1:9">
      <c r="A5" s="7" t="s">
        <v>111</v>
      </c>
      <c r="B5" s="5">
        <v>13</v>
      </c>
      <c r="D5" s="7" t="s">
        <v>38</v>
      </c>
      <c r="E5" s="5">
        <v>7</v>
      </c>
      <c r="F5" s="5">
        <v>6</v>
      </c>
      <c r="G5" s="5">
        <v>13</v>
      </c>
    </row>
    <row r="6" spans="1:9">
      <c r="A6" s="7" t="s">
        <v>216</v>
      </c>
      <c r="B6" s="5">
        <v>50</v>
      </c>
      <c r="D6" s="7" t="s">
        <v>59</v>
      </c>
      <c r="E6" s="5">
        <v>5</v>
      </c>
      <c r="F6" s="5">
        <v>7</v>
      </c>
      <c r="G6" s="5">
        <v>12</v>
      </c>
    </row>
    <row r="7" spans="1:9">
      <c r="D7" s="7" t="s">
        <v>98</v>
      </c>
      <c r="E7" s="5">
        <v>4</v>
      </c>
      <c r="F7" s="5">
        <v>3</v>
      </c>
      <c r="G7" s="5">
        <v>7</v>
      </c>
    </row>
    <row r="8" spans="1:9">
      <c r="A8" s="8" t="s">
        <v>218</v>
      </c>
      <c r="B8" s="8"/>
      <c r="D8" s="7" t="s">
        <v>68</v>
      </c>
      <c r="E8" s="5">
        <v>4</v>
      </c>
      <c r="F8" s="5">
        <v>5</v>
      </c>
      <c r="G8" s="5">
        <v>9</v>
      </c>
    </row>
    <row r="9" spans="1:9">
      <c r="A9" s="6" t="s">
        <v>215</v>
      </c>
      <c r="B9" t="s">
        <v>221</v>
      </c>
      <c r="D9" s="7" t="s">
        <v>216</v>
      </c>
      <c r="E9" s="5">
        <v>26</v>
      </c>
      <c r="F9" s="5">
        <v>24</v>
      </c>
      <c r="G9" s="5">
        <v>50</v>
      </c>
    </row>
    <row r="10" spans="1:9">
      <c r="A10" s="7" t="s">
        <v>121</v>
      </c>
      <c r="B10" s="5">
        <v>28</v>
      </c>
    </row>
    <row r="11" spans="1:9">
      <c r="A11" s="7" t="s">
        <v>40</v>
      </c>
      <c r="B11" s="5">
        <v>110</v>
      </c>
    </row>
    <row r="12" spans="1:9">
      <c r="A12" s="7" t="s">
        <v>72</v>
      </c>
      <c r="B12" s="5">
        <v>104</v>
      </c>
      <c r="D12" s="6" t="s">
        <v>215</v>
      </c>
      <c r="E12" t="s">
        <v>214</v>
      </c>
    </row>
    <row r="13" spans="1:9">
      <c r="A13" s="7" t="s">
        <v>50</v>
      </c>
      <c r="B13" s="5">
        <v>123</v>
      </c>
      <c r="D13" s="7" t="s">
        <v>44</v>
      </c>
      <c r="E13" s="5">
        <v>23</v>
      </c>
      <c r="F13" t="str">
        <f>D13</f>
        <v>Branch Office</v>
      </c>
      <c r="G13">
        <f>E13</f>
        <v>23</v>
      </c>
      <c r="H13" s="9">
        <f>G13/G$16</f>
        <v>0.46</v>
      </c>
      <c r="I13" s="10">
        <f>1-H13</f>
        <v>0.54</v>
      </c>
    </row>
    <row r="14" spans="1:9">
      <c r="A14" s="7" t="s">
        <v>25</v>
      </c>
      <c r="B14" s="5">
        <v>122</v>
      </c>
      <c r="D14" s="7" t="s">
        <v>30</v>
      </c>
      <c r="E14" s="5">
        <v>8</v>
      </c>
      <c r="F14" t="str">
        <f t="shared" ref="F14:F16" si="0">D14</f>
        <v>Head Office</v>
      </c>
      <c r="G14">
        <f t="shared" ref="G14:G16" si="1">E14</f>
        <v>8</v>
      </c>
      <c r="H14" s="9">
        <f t="shared" ref="H14:H15" si="2">G14/G$16</f>
        <v>0.16</v>
      </c>
      <c r="I14" s="10">
        <f t="shared" ref="I14:I15" si="3">1-H14</f>
        <v>0.84</v>
      </c>
    </row>
    <row r="15" spans="1:9">
      <c r="A15" s="7" t="s">
        <v>216</v>
      </c>
      <c r="B15" s="5">
        <v>487</v>
      </c>
      <c r="D15" s="7" t="s">
        <v>54</v>
      </c>
      <c r="E15" s="5">
        <v>19</v>
      </c>
      <c r="F15" t="str">
        <f t="shared" si="0"/>
        <v>Remote</v>
      </c>
      <c r="G15">
        <f t="shared" si="1"/>
        <v>19</v>
      </c>
      <c r="H15" s="9">
        <f t="shared" si="2"/>
        <v>0.38</v>
      </c>
      <c r="I15" s="10">
        <f t="shared" si="3"/>
        <v>0.62</v>
      </c>
    </row>
    <row r="16" spans="1:9">
      <c r="D16" s="7" t="s">
        <v>216</v>
      </c>
      <c r="E16" s="5">
        <v>50</v>
      </c>
      <c r="F16" t="str">
        <f t="shared" si="0"/>
        <v>Grand Total</v>
      </c>
      <c r="G16">
        <f t="shared" si="1"/>
        <v>50</v>
      </c>
    </row>
    <row r="18" spans="2:8">
      <c r="B18" s="6" t="s">
        <v>215</v>
      </c>
      <c r="C18" t="s">
        <v>214</v>
      </c>
      <c r="E18" s="6" t="s">
        <v>215</v>
      </c>
      <c r="F18" t="s">
        <v>214</v>
      </c>
    </row>
    <row r="19" spans="2:8">
      <c r="B19" s="7" t="s">
        <v>75</v>
      </c>
      <c r="C19" s="5">
        <v>12</v>
      </c>
      <c r="E19" s="7" t="s">
        <v>22</v>
      </c>
      <c r="F19" s="5">
        <v>26</v>
      </c>
      <c r="G19" s="9">
        <f>F19/F21</f>
        <v>0.52</v>
      </c>
      <c r="H19" s="10">
        <f>1-G19</f>
        <v>0.48</v>
      </c>
    </row>
    <row r="20" spans="2:8">
      <c r="B20" s="7" t="s">
        <v>34</v>
      </c>
      <c r="C20" s="5">
        <v>11</v>
      </c>
      <c r="E20" s="7" t="s">
        <v>37</v>
      </c>
      <c r="F20" s="5">
        <v>24</v>
      </c>
      <c r="G20" s="9">
        <f>F20/F21</f>
        <v>0.48</v>
      </c>
      <c r="H20" s="10">
        <f>1-G20</f>
        <v>0.52</v>
      </c>
    </row>
    <row r="21" spans="2:8">
      <c r="B21" s="7" t="s">
        <v>96</v>
      </c>
      <c r="C21" s="5">
        <v>7</v>
      </c>
      <c r="E21" s="7" t="s">
        <v>216</v>
      </c>
      <c r="F21" s="5">
        <v>50</v>
      </c>
    </row>
    <row r="22" spans="2:8">
      <c r="B22" s="7" t="s">
        <v>56</v>
      </c>
      <c r="C22" s="5">
        <v>11</v>
      </c>
    </row>
    <row r="23" spans="2:8">
      <c r="B23" s="7" t="s">
        <v>66</v>
      </c>
      <c r="C23" s="5">
        <v>9</v>
      </c>
    </row>
    <row r="24" spans="2:8">
      <c r="B24" s="7" t="s">
        <v>216</v>
      </c>
      <c r="C24" s="5">
        <v>50</v>
      </c>
    </row>
    <row r="25" spans="2:8">
      <c r="E25" s="6" t="s">
        <v>215</v>
      </c>
      <c r="F25" t="s">
        <v>214</v>
      </c>
    </row>
    <row r="26" spans="2:8">
      <c r="E26" s="7" t="s">
        <v>39</v>
      </c>
      <c r="F26" s="5">
        <v>14</v>
      </c>
    </row>
    <row r="27" spans="2:8">
      <c r="E27" s="7" t="s">
        <v>24</v>
      </c>
      <c r="F27" s="5">
        <v>10</v>
      </c>
    </row>
    <row r="28" spans="2:8">
      <c r="E28" s="7" t="s">
        <v>102</v>
      </c>
      <c r="F28" s="5">
        <v>7</v>
      </c>
    </row>
    <row r="29" spans="2:8">
      <c r="B29" t="s">
        <v>222</v>
      </c>
      <c r="E29" s="7" t="s">
        <v>80</v>
      </c>
      <c r="F29" s="5">
        <v>10</v>
      </c>
    </row>
    <row r="30" spans="2:8">
      <c r="B30" s="5">
        <v>2.62</v>
      </c>
      <c r="E30" s="7" t="s">
        <v>49</v>
      </c>
      <c r="F30" s="5">
        <v>9</v>
      </c>
    </row>
    <row r="31" spans="2:8">
      <c r="E31" s="7" t="s">
        <v>216</v>
      </c>
      <c r="F31" s="5">
        <v>50</v>
      </c>
    </row>
  </sheetData>
  <mergeCells count="2">
    <mergeCell ref="A1:B1"/>
    <mergeCell ref="A8: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8A648-DB6F-4830-A793-0C7A96DDCC11}">
  <sheetPr>
    <tabColor theme="5"/>
  </sheetPr>
  <dimension ref="A1"/>
  <sheetViews>
    <sheetView showGridLines="0" tabSelected="1" zoomScale="85" zoomScaleNormal="85" workbookViewId="0">
      <selection activeCell="S11" sqref="S11"/>
    </sheetView>
  </sheetViews>
  <sheetFormatPr defaultRowHeight="14.4"/>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Dikeola</cp:lastModifiedBy>
  <dcterms:created xsi:type="dcterms:W3CDTF">2024-12-11T17:14:33Z</dcterms:created>
  <dcterms:modified xsi:type="dcterms:W3CDTF">2026-05-06T03:46:52Z</dcterms:modified>
</cp:coreProperties>
</file>