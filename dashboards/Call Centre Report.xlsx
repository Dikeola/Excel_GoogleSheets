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dike1/Downloads/"/>
    </mc:Choice>
  </mc:AlternateContent>
  <xr:revisionPtr revIDLastSave="0" documentId="13_ncr:1_{4B7385FF-FD3E-8749-94D8-B9F868820E6A}" xr6:coauthVersionLast="47" xr6:coauthVersionMax="47" xr10:uidLastSave="{00000000-0000-0000-0000-000000000000}"/>
  <bookViews>
    <workbookView xWindow="0" yWindow="0" windowWidth="33600" windowHeight="21000" activeTab="1" xr2:uid="{26D4546B-D2A1-4444-8EAF-A6228F96F0C1}"/>
  </bookViews>
  <sheets>
    <sheet name="Analysis" sheetId="6" r:id="rId1"/>
    <sheet name="Dashboard" sheetId="7" r:id="rId2"/>
    <sheet name="Data" sheetId="2" r:id="rId3"/>
    <sheet name="Assets" sheetId="4" r:id="rId4"/>
  </sheets>
  <definedNames>
    <definedName name="_xlnm._FilterDatabase" localSheetId="2" hidden="1">Data!$B$3:$H$1003</definedName>
    <definedName name="Slicer_Representative">#N/A</definedName>
  </definedNames>
  <calcPr calcId="191029"/>
  <pivotCaches>
    <pivotCache cacheId="4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7" i="7" l="1"/>
  <c r="S37" i="7"/>
  <c r="R37" i="7"/>
  <c r="Q37" i="7"/>
  <c r="P37" i="7"/>
  <c r="O37" i="7"/>
  <c r="N37" i="7"/>
  <c r="T36" i="7"/>
  <c r="S36" i="7"/>
  <c r="R36" i="7"/>
  <c r="Q36" i="7"/>
  <c r="P36" i="7"/>
  <c r="O36" i="7"/>
  <c r="N36" i="7"/>
  <c r="T35" i="7"/>
  <c r="S35" i="7"/>
  <c r="R35" i="7"/>
  <c r="Q35" i="7"/>
  <c r="P35" i="7"/>
  <c r="O35" i="7"/>
  <c r="N35" i="7"/>
  <c r="T34" i="7"/>
  <c r="S34" i="7"/>
  <c r="R34" i="7"/>
  <c r="Q34" i="7"/>
  <c r="P34" i="7"/>
  <c r="O34" i="7"/>
  <c r="N34" i="7"/>
  <c r="T33" i="7"/>
  <c r="S33" i="7"/>
  <c r="R33" i="7"/>
  <c r="Q33" i="7"/>
  <c r="P33" i="7"/>
  <c r="O33" i="7"/>
  <c r="N33" i="7"/>
  <c r="M33" i="7"/>
  <c r="T31" i="7"/>
  <c r="S31" i="7"/>
  <c r="R31" i="7"/>
  <c r="Q31" i="7"/>
  <c r="P31" i="7"/>
  <c r="O31" i="7"/>
  <c r="N31" i="7"/>
  <c r="T30" i="7"/>
  <c r="S30" i="7"/>
  <c r="R30" i="7"/>
  <c r="Q30" i="7"/>
  <c r="P30" i="7"/>
  <c r="O30" i="7"/>
  <c r="N30" i="7"/>
  <c r="T29" i="7"/>
  <c r="S29" i="7"/>
  <c r="R29" i="7"/>
  <c r="Q29" i="7"/>
  <c r="P29" i="7"/>
  <c r="O29" i="7"/>
  <c r="N29" i="7"/>
  <c r="T28" i="7"/>
  <c r="S28" i="7"/>
  <c r="R28" i="7"/>
  <c r="Q28" i="7"/>
  <c r="P28" i="7"/>
  <c r="O28" i="7"/>
  <c r="N28" i="7"/>
  <c r="T27" i="7"/>
  <c r="S27" i="7"/>
  <c r="R27" i="7"/>
  <c r="Q27" i="7"/>
  <c r="P27" i="7"/>
  <c r="O27" i="7"/>
  <c r="N27" i="7"/>
  <c r="T26" i="7"/>
  <c r="S26" i="7"/>
  <c r="R26" i="7"/>
  <c r="Q26" i="7"/>
  <c r="P26" i="7"/>
  <c r="O26" i="7"/>
  <c r="N26" i="7"/>
  <c r="M26" i="7"/>
  <c r="T24" i="7"/>
  <c r="S24" i="7"/>
  <c r="R24" i="7"/>
  <c r="Q24" i="7"/>
  <c r="P24" i="7"/>
  <c r="O24" i="7"/>
  <c r="N24" i="7"/>
  <c r="T23" i="7"/>
  <c r="S23" i="7"/>
  <c r="R23" i="7"/>
  <c r="Q23" i="7"/>
  <c r="P23" i="7"/>
  <c r="O23" i="7"/>
  <c r="N23" i="7"/>
  <c r="T22" i="7"/>
  <c r="S22" i="7"/>
  <c r="R22" i="7"/>
  <c r="Q22" i="7"/>
  <c r="P22" i="7"/>
  <c r="O22" i="7"/>
  <c r="N22" i="7"/>
  <c r="T21" i="7"/>
  <c r="S21" i="7"/>
  <c r="R21" i="7"/>
  <c r="Q21" i="7"/>
  <c r="P21" i="7"/>
  <c r="O21" i="7"/>
  <c r="N21" i="7"/>
  <c r="M21" i="7"/>
  <c r="R6"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L4" i="2"/>
  <c r="M4" i="2" s="1"/>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M20" i="2" s="1"/>
  <c r="L21" i="2"/>
  <c r="M21" i="2" s="1"/>
  <c r="L22" i="2"/>
  <c r="M22" i="2" s="1"/>
  <c r="L23" i="2"/>
  <c r="M23" i="2" s="1"/>
  <c r="L24" i="2"/>
  <c r="M24" i="2" s="1"/>
  <c r="L25" i="2"/>
  <c r="M25" i="2" s="1"/>
  <c r="L26" i="2"/>
  <c r="M26" i="2" s="1"/>
  <c r="L27" i="2"/>
  <c r="M27" i="2" s="1"/>
  <c r="L28" i="2"/>
  <c r="M28" i="2" s="1"/>
  <c r="L29" i="2"/>
  <c r="M29" i="2" s="1"/>
  <c r="L30" i="2"/>
  <c r="M30" i="2" s="1"/>
  <c r="L31" i="2"/>
  <c r="M31" i="2" s="1"/>
  <c r="L32" i="2"/>
  <c r="M32" i="2" s="1"/>
  <c r="L33" i="2"/>
  <c r="M33" i="2" s="1"/>
  <c r="L34" i="2"/>
  <c r="M34" i="2" s="1"/>
  <c r="L35" i="2"/>
  <c r="M35" i="2" s="1"/>
  <c r="L36" i="2"/>
  <c r="M36" i="2" s="1"/>
  <c r="L37" i="2"/>
  <c r="M37" i="2" s="1"/>
  <c r="L38" i="2"/>
  <c r="M38" i="2" s="1"/>
  <c r="L39" i="2"/>
  <c r="M39" i="2" s="1"/>
  <c r="L40" i="2"/>
  <c r="M40" i="2" s="1"/>
  <c r="L41" i="2"/>
  <c r="M41" i="2" s="1"/>
  <c r="L42" i="2"/>
  <c r="M42" i="2" s="1"/>
  <c r="L43" i="2"/>
  <c r="M43" i="2" s="1"/>
  <c r="L44" i="2"/>
  <c r="M44" i="2" s="1"/>
  <c r="L45" i="2"/>
  <c r="M45" i="2" s="1"/>
  <c r="L46" i="2"/>
  <c r="M46" i="2" s="1"/>
  <c r="L47" i="2"/>
  <c r="M47" i="2" s="1"/>
  <c r="L48" i="2"/>
  <c r="M48" i="2" s="1"/>
  <c r="L49" i="2"/>
  <c r="M49" i="2" s="1"/>
  <c r="L50" i="2"/>
  <c r="M50" i="2" s="1"/>
  <c r="L51" i="2"/>
  <c r="M51" i="2" s="1"/>
  <c r="L52" i="2"/>
  <c r="M52" i="2" s="1"/>
  <c r="L53" i="2"/>
  <c r="M53" i="2" s="1"/>
  <c r="L54" i="2"/>
  <c r="M54" i="2" s="1"/>
  <c r="L55" i="2"/>
  <c r="M55" i="2" s="1"/>
  <c r="L56" i="2"/>
  <c r="M56" i="2" s="1"/>
  <c r="L57" i="2"/>
  <c r="M57" i="2" s="1"/>
  <c r="L58" i="2"/>
  <c r="M58" i="2" s="1"/>
  <c r="L59" i="2"/>
  <c r="M59" i="2" s="1"/>
  <c r="L60" i="2"/>
  <c r="M60" i="2" s="1"/>
  <c r="L61" i="2"/>
  <c r="M61" i="2" s="1"/>
  <c r="L62" i="2"/>
  <c r="M62" i="2" s="1"/>
  <c r="L63" i="2"/>
  <c r="M63" i="2" s="1"/>
  <c r="L64" i="2"/>
  <c r="M64" i="2" s="1"/>
  <c r="L65" i="2"/>
  <c r="M65" i="2" s="1"/>
  <c r="L66" i="2"/>
  <c r="M66" i="2" s="1"/>
  <c r="L67" i="2"/>
  <c r="M67" i="2" s="1"/>
  <c r="L68" i="2"/>
  <c r="M68" i="2" s="1"/>
  <c r="L69" i="2"/>
  <c r="M69" i="2" s="1"/>
  <c r="L70" i="2"/>
  <c r="M70" i="2" s="1"/>
  <c r="L71" i="2"/>
  <c r="M71" i="2" s="1"/>
  <c r="L72" i="2"/>
  <c r="M72" i="2" s="1"/>
  <c r="L73" i="2"/>
  <c r="M73" i="2" s="1"/>
  <c r="L74" i="2"/>
  <c r="M74" i="2" s="1"/>
  <c r="L75" i="2"/>
  <c r="M75" i="2" s="1"/>
  <c r="L76" i="2"/>
  <c r="M76" i="2" s="1"/>
  <c r="L77" i="2"/>
  <c r="M77" i="2" s="1"/>
  <c r="L78" i="2"/>
  <c r="M78" i="2" s="1"/>
  <c r="L79" i="2"/>
  <c r="M79" i="2" s="1"/>
  <c r="L80" i="2"/>
  <c r="M80" i="2" s="1"/>
  <c r="L81" i="2"/>
  <c r="M81" i="2" s="1"/>
  <c r="L82" i="2"/>
  <c r="M82" i="2" s="1"/>
  <c r="L83" i="2"/>
  <c r="M83" i="2" s="1"/>
  <c r="L84" i="2"/>
  <c r="M84" i="2" s="1"/>
  <c r="L85" i="2"/>
  <c r="M85" i="2" s="1"/>
  <c r="L86" i="2"/>
  <c r="M86" i="2" s="1"/>
  <c r="L87" i="2"/>
  <c r="M87" i="2" s="1"/>
  <c r="L88" i="2"/>
  <c r="M88" i="2" s="1"/>
  <c r="L89" i="2"/>
  <c r="M89" i="2" s="1"/>
  <c r="L90" i="2"/>
  <c r="M90" i="2" s="1"/>
  <c r="L91" i="2"/>
  <c r="M91" i="2" s="1"/>
  <c r="L92" i="2"/>
  <c r="M92" i="2" s="1"/>
  <c r="L93" i="2"/>
  <c r="M93" i="2" s="1"/>
  <c r="L94" i="2"/>
  <c r="M94" i="2" s="1"/>
  <c r="L95" i="2"/>
  <c r="M95" i="2" s="1"/>
  <c r="L96" i="2"/>
  <c r="M96" i="2" s="1"/>
  <c r="L97" i="2"/>
  <c r="M97" i="2" s="1"/>
  <c r="L98" i="2"/>
  <c r="M98" i="2" s="1"/>
  <c r="L99" i="2"/>
  <c r="M99" i="2" s="1"/>
  <c r="L100" i="2"/>
  <c r="M100" i="2" s="1"/>
  <c r="L101" i="2"/>
  <c r="M101" i="2" s="1"/>
  <c r="L102" i="2"/>
  <c r="M102" i="2" s="1"/>
  <c r="L103" i="2"/>
  <c r="M103" i="2" s="1"/>
  <c r="L104" i="2"/>
  <c r="M104" i="2" s="1"/>
  <c r="L105" i="2"/>
  <c r="M105" i="2" s="1"/>
  <c r="L106" i="2"/>
  <c r="M106" i="2" s="1"/>
  <c r="L107" i="2"/>
  <c r="M107" i="2" s="1"/>
  <c r="L108" i="2"/>
  <c r="M108" i="2" s="1"/>
  <c r="L109" i="2"/>
  <c r="M109" i="2" s="1"/>
  <c r="L110" i="2"/>
  <c r="M110" i="2" s="1"/>
  <c r="L111" i="2"/>
  <c r="M111" i="2" s="1"/>
  <c r="L112" i="2"/>
  <c r="M112" i="2" s="1"/>
  <c r="L113" i="2"/>
  <c r="M113" i="2" s="1"/>
  <c r="L114" i="2"/>
  <c r="M114" i="2" s="1"/>
  <c r="L115" i="2"/>
  <c r="M115" i="2" s="1"/>
  <c r="L116" i="2"/>
  <c r="M116" i="2" s="1"/>
  <c r="L117" i="2"/>
  <c r="M117" i="2" s="1"/>
  <c r="L118" i="2"/>
  <c r="M118" i="2" s="1"/>
  <c r="L119" i="2"/>
  <c r="M119" i="2" s="1"/>
  <c r="L120" i="2"/>
  <c r="M120" i="2" s="1"/>
  <c r="L121" i="2"/>
  <c r="M121" i="2" s="1"/>
  <c r="L122" i="2"/>
  <c r="M122" i="2" s="1"/>
  <c r="L123" i="2"/>
  <c r="M123" i="2" s="1"/>
  <c r="L124" i="2"/>
  <c r="M124" i="2" s="1"/>
  <c r="L125" i="2"/>
  <c r="M125" i="2" s="1"/>
  <c r="L126" i="2"/>
  <c r="M126" i="2" s="1"/>
  <c r="L127" i="2"/>
  <c r="M127" i="2" s="1"/>
  <c r="L128" i="2"/>
  <c r="M128" i="2" s="1"/>
  <c r="L129" i="2"/>
  <c r="M129" i="2" s="1"/>
  <c r="L130" i="2"/>
  <c r="M130" i="2" s="1"/>
  <c r="L131" i="2"/>
  <c r="M131" i="2" s="1"/>
  <c r="L132" i="2"/>
  <c r="M132" i="2" s="1"/>
  <c r="L133" i="2"/>
  <c r="M133" i="2" s="1"/>
  <c r="L134" i="2"/>
  <c r="M134" i="2" s="1"/>
  <c r="L135" i="2"/>
  <c r="M135" i="2" s="1"/>
  <c r="L136" i="2"/>
  <c r="M136" i="2" s="1"/>
  <c r="L137" i="2"/>
  <c r="M137" i="2" s="1"/>
  <c r="L138" i="2"/>
  <c r="M138" i="2" s="1"/>
  <c r="L139" i="2"/>
  <c r="M139" i="2" s="1"/>
  <c r="L140" i="2"/>
  <c r="M140" i="2" s="1"/>
  <c r="L141" i="2"/>
  <c r="M141" i="2" s="1"/>
  <c r="L142" i="2"/>
  <c r="M142" i="2" s="1"/>
  <c r="L143" i="2"/>
  <c r="M143" i="2" s="1"/>
  <c r="L144" i="2"/>
  <c r="M144" i="2" s="1"/>
  <c r="L145" i="2"/>
  <c r="M145" i="2" s="1"/>
  <c r="L146" i="2"/>
  <c r="M146" i="2" s="1"/>
  <c r="L147" i="2"/>
  <c r="M147" i="2" s="1"/>
  <c r="L148" i="2"/>
  <c r="M148" i="2" s="1"/>
  <c r="L149" i="2"/>
  <c r="M149" i="2" s="1"/>
  <c r="L150" i="2"/>
  <c r="M150" i="2" s="1"/>
  <c r="L151" i="2"/>
  <c r="M151" i="2" s="1"/>
  <c r="L152" i="2"/>
  <c r="M152" i="2" s="1"/>
  <c r="L153" i="2"/>
  <c r="M153" i="2" s="1"/>
  <c r="L154" i="2"/>
  <c r="M154" i="2" s="1"/>
  <c r="L155" i="2"/>
  <c r="M155" i="2" s="1"/>
  <c r="L156" i="2"/>
  <c r="M156" i="2" s="1"/>
  <c r="L157" i="2"/>
  <c r="M157" i="2" s="1"/>
  <c r="L158" i="2"/>
  <c r="M158" i="2" s="1"/>
  <c r="L159" i="2"/>
  <c r="M159" i="2" s="1"/>
  <c r="L160" i="2"/>
  <c r="M160" i="2" s="1"/>
  <c r="L161" i="2"/>
  <c r="M161" i="2" s="1"/>
  <c r="L162" i="2"/>
  <c r="M162" i="2" s="1"/>
  <c r="L163" i="2"/>
  <c r="M163" i="2" s="1"/>
  <c r="L164" i="2"/>
  <c r="M164" i="2" s="1"/>
  <c r="L165" i="2"/>
  <c r="M165" i="2" s="1"/>
  <c r="L166" i="2"/>
  <c r="M166" i="2" s="1"/>
  <c r="L167" i="2"/>
  <c r="M167" i="2" s="1"/>
  <c r="L168" i="2"/>
  <c r="M168" i="2" s="1"/>
  <c r="L169" i="2"/>
  <c r="M169" i="2" s="1"/>
  <c r="L170" i="2"/>
  <c r="M170" i="2" s="1"/>
  <c r="L171" i="2"/>
  <c r="M171" i="2" s="1"/>
  <c r="L172" i="2"/>
  <c r="M172" i="2" s="1"/>
  <c r="L173" i="2"/>
  <c r="M173" i="2" s="1"/>
  <c r="L174" i="2"/>
  <c r="M174" i="2" s="1"/>
  <c r="L175" i="2"/>
  <c r="M175" i="2" s="1"/>
  <c r="L176" i="2"/>
  <c r="M176" i="2" s="1"/>
  <c r="L177" i="2"/>
  <c r="M177" i="2" s="1"/>
  <c r="L178" i="2"/>
  <c r="M178" i="2" s="1"/>
  <c r="L179" i="2"/>
  <c r="M179" i="2" s="1"/>
  <c r="L180" i="2"/>
  <c r="M180" i="2" s="1"/>
  <c r="L181" i="2"/>
  <c r="M181" i="2" s="1"/>
  <c r="L182" i="2"/>
  <c r="M182" i="2" s="1"/>
  <c r="L183" i="2"/>
  <c r="M183" i="2" s="1"/>
  <c r="L184" i="2"/>
  <c r="M184" i="2" s="1"/>
  <c r="L185" i="2"/>
  <c r="M185" i="2" s="1"/>
  <c r="L186" i="2"/>
  <c r="M186" i="2" s="1"/>
  <c r="L187" i="2"/>
  <c r="M187" i="2" s="1"/>
  <c r="L188" i="2"/>
  <c r="M188" i="2" s="1"/>
  <c r="L189" i="2"/>
  <c r="M189" i="2" s="1"/>
  <c r="L190" i="2"/>
  <c r="M190" i="2" s="1"/>
  <c r="L191" i="2"/>
  <c r="M191" i="2" s="1"/>
  <c r="L192" i="2"/>
  <c r="M192" i="2" s="1"/>
  <c r="L193" i="2"/>
  <c r="M193" i="2" s="1"/>
  <c r="L194" i="2"/>
  <c r="M194" i="2" s="1"/>
  <c r="L195" i="2"/>
  <c r="M195" i="2" s="1"/>
  <c r="L196" i="2"/>
  <c r="M196" i="2" s="1"/>
  <c r="L197" i="2"/>
  <c r="M197" i="2" s="1"/>
  <c r="L198" i="2"/>
  <c r="M198" i="2" s="1"/>
  <c r="L199" i="2"/>
  <c r="M199" i="2" s="1"/>
  <c r="L200" i="2"/>
  <c r="M200" i="2" s="1"/>
  <c r="L201" i="2"/>
  <c r="M201" i="2" s="1"/>
  <c r="L202" i="2"/>
  <c r="M202" i="2" s="1"/>
  <c r="L203" i="2"/>
  <c r="M203" i="2" s="1"/>
  <c r="L204" i="2"/>
  <c r="M204" i="2" s="1"/>
  <c r="L205" i="2"/>
  <c r="M205" i="2" s="1"/>
  <c r="L206" i="2"/>
  <c r="M206" i="2" s="1"/>
  <c r="L207" i="2"/>
  <c r="M207" i="2" s="1"/>
  <c r="L208" i="2"/>
  <c r="M208" i="2" s="1"/>
  <c r="L209" i="2"/>
  <c r="M209" i="2" s="1"/>
  <c r="L210" i="2"/>
  <c r="M210" i="2" s="1"/>
  <c r="L211" i="2"/>
  <c r="M211" i="2" s="1"/>
  <c r="L212" i="2"/>
  <c r="M212" i="2" s="1"/>
  <c r="L213" i="2"/>
  <c r="M213" i="2" s="1"/>
  <c r="L214" i="2"/>
  <c r="M214" i="2" s="1"/>
  <c r="L215" i="2"/>
  <c r="M215" i="2" s="1"/>
  <c r="L216" i="2"/>
  <c r="M216" i="2" s="1"/>
  <c r="L217" i="2"/>
  <c r="M217" i="2" s="1"/>
  <c r="L218" i="2"/>
  <c r="M218" i="2" s="1"/>
  <c r="L219" i="2"/>
  <c r="M219" i="2" s="1"/>
  <c r="L220" i="2"/>
  <c r="M220" i="2" s="1"/>
  <c r="L221" i="2"/>
  <c r="M221" i="2" s="1"/>
  <c r="L222" i="2"/>
  <c r="M222" i="2" s="1"/>
  <c r="L223" i="2"/>
  <c r="M223" i="2" s="1"/>
  <c r="L224" i="2"/>
  <c r="M224" i="2" s="1"/>
  <c r="L225" i="2"/>
  <c r="M225" i="2" s="1"/>
  <c r="L226" i="2"/>
  <c r="M226" i="2" s="1"/>
  <c r="L227" i="2"/>
  <c r="M227" i="2" s="1"/>
  <c r="L228" i="2"/>
  <c r="M228" i="2" s="1"/>
  <c r="L229" i="2"/>
  <c r="M229" i="2" s="1"/>
  <c r="L230" i="2"/>
  <c r="M230" i="2" s="1"/>
  <c r="L231" i="2"/>
  <c r="M231" i="2" s="1"/>
  <c r="L232" i="2"/>
  <c r="M232" i="2" s="1"/>
  <c r="L233" i="2"/>
  <c r="M233" i="2" s="1"/>
  <c r="L234" i="2"/>
  <c r="M234" i="2" s="1"/>
  <c r="L235" i="2"/>
  <c r="M235" i="2" s="1"/>
  <c r="L236" i="2"/>
  <c r="M236" i="2" s="1"/>
  <c r="L237" i="2"/>
  <c r="M237" i="2" s="1"/>
  <c r="L238" i="2"/>
  <c r="M238" i="2" s="1"/>
  <c r="L239" i="2"/>
  <c r="M239" i="2" s="1"/>
  <c r="L240" i="2"/>
  <c r="M240" i="2" s="1"/>
  <c r="L241" i="2"/>
  <c r="M241" i="2" s="1"/>
  <c r="L242" i="2"/>
  <c r="M242" i="2" s="1"/>
  <c r="L243" i="2"/>
  <c r="M243" i="2" s="1"/>
  <c r="L244" i="2"/>
  <c r="M244" i="2" s="1"/>
  <c r="L245" i="2"/>
  <c r="M245" i="2" s="1"/>
  <c r="L246" i="2"/>
  <c r="M246" i="2" s="1"/>
  <c r="L247" i="2"/>
  <c r="M247" i="2" s="1"/>
  <c r="L248" i="2"/>
  <c r="M248" i="2" s="1"/>
  <c r="L249" i="2"/>
  <c r="M249" i="2" s="1"/>
  <c r="L250" i="2"/>
  <c r="M250" i="2" s="1"/>
  <c r="L251" i="2"/>
  <c r="M251" i="2" s="1"/>
  <c r="L252" i="2"/>
  <c r="M252" i="2" s="1"/>
  <c r="L253" i="2"/>
  <c r="M253" i="2" s="1"/>
  <c r="L254" i="2"/>
  <c r="M254" i="2" s="1"/>
  <c r="L255" i="2"/>
  <c r="M255" i="2" s="1"/>
  <c r="L256" i="2"/>
  <c r="M256" i="2" s="1"/>
  <c r="L257" i="2"/>
  <c r="M257" i="2" s="1"/>
  <c r="L258" i="2"/>
  <c r="M258" i="2" s="1"/>
  <c r="L259" i="2"/>
  <c r="M259" i="2" s="1"/>
  <c r="L260" i="2"/>
  <c r="M260" i="2" s="1"/>
  <c r="L261" i="2"/>
  <c r="M261" i="2" s="1"/>
  <c r="L262" i="2"/>
  <c r="M262" i="2" s="1"/>
  <c r="L263" i="2"/>
  <c r="M263" i="2" s="1"/>
  <c r="L264" i="2"/>
  <c r="M264" i="2" s="1"/>
  <c r="L265" i="2"/>
  <c r="M265" i="2" s="1"/>
  <c r="L266" i="2"/>
  <c r="M266" i="2" s="1"/>
  <c r="L267" i="2"/>
  <c r="M267" i="2" s="1"/>
  <c r="L268" i="2"/>
  <c r="M268" i="2" s="1"/>
  <c r="L269" i="2"/>
  <c r="M269" i="2" s="1"/>
  <c r="L270" i="2"/>
  <c r="M270" i="2" s="1"/>
  <c r="L271" i="2"/>
  <c r="M271" i="2" s="1"/>
  <c r="L272" i="2"/>
  <c r="M272" i="2" s="1"/>
  <c r="L273" i="2"/>
  <c r="M273" i="2" s="1"/>
  <c r="L274" i="2"/>
  <c r="M274" i="2" s="1"/>
  <c r="L275" i="2"/>
  <c r="M275" i="2" s="1"/>
  <c r="L276" i="2"/>
  <c r="M276" i="2" s="1"/>
  <c r="L277" i="2"/>
  <c r="M277" i="2" s="1"/>
  <c r="L278" i="2"/>
  <c r="M278" i="2" s="1"/>
  <c r="L279" i="2"/>
  <c r="M279" i="2" s="1"/>
  <c r="L280" i="2"/>
  <c r="M280" i="2" s="1"/>
  <c r="L281" i="2"/>
  <c r="M281" i="2" s="1"/>
  <c r="L282" i="2"/>
  <c r="M282" i="2" s="1"/>
  <c r="L283" i="2"/>
  <c r="M283" i="2" s="1"/>
  <c r="L284" i="2"/>
  <c r="M284" i="2" s="1"/>
  <c r="L285" i="2"/>
  <c r="M285" i="2" s="1"/>
  <c r="L286" i="2"/>
  <c r="M286" i="2" s="1"/>
  <c r="L287" i="2"/>
  <c r="M287" i="2" s="1"/>
  <c r="L288" i="2"/>
  <c r="M288" i="2" s="1"/>
  <c r="L289" i="2"/>
  <c r="M289" i="2" s="1"/>
  <c r="L290" i="2"/>
  <c r="M290" i="2" s="1"/>
  <c r="L291" i="2"/>
  <c r="M291" i="2" s="1"/>
  <c r="L292" i="2"/>
  <c r="M292" i="2" s="1"/>
  <c r="L293" i="2"/>
  <c r="M293" i="2" s="1"/>
  <c r="L294" i="2"/>
  <c r="M294" i="2" s="1"/>
  <c r="L295" i="2"/>
  <c r="M295" i="2" s="1"/>
  <c r="L296" i="2"/>
  <c r="M296" i="2" s="1"/>
  <c r="L297" i="2"/>
  <c r="M297" i="2" s="1"/>
  <c r="L298" i="2"/>
  <c r="M298" i="2" s="1"/>
  <c r="L299" i="2"/>
  <c r="M299" i="2" s="1"/>
  <c r="L300" i="2"/>
  <c r="M300" i="2" s="1"/>
  <c r="L301" i="2"/>
  <c r="M301" i="2" s="1"/>
  <c r="L302" i="2"/>
  <c r="M302" i="2" s="1"/>
  <c r="L303" i="2"/>
  <c r="M303" i="2" s="1"/>
  <c r="L304" i="2"/>
  <c r="M304" i="2" s="1"/>
  <c r="L305" i="2"/>
  <c r="M305" i="2" s="1"/>
  <c r="L306" i="2"/>
  <c r="M306" i="2" s="1"/>
  <c r="L307" i="2"/>
  <c r="M307" i="2" s="1"/>
  <c r="L308" i="2"/>
  <c r="M308" i="2" s="1"/>
  <c r="L309" i="2"/>
  <c r="M309" i="2" s="1"/>
  <c r="L310" i="2"/>
  <c r="M310" i="2" s="1"/>
  <c r="L311" i="2"/>
  <c r="M311" i="2" s="1"/>
  <c r="L312" i="2"/>
  <c r="M312" i="2" s="1"/>
  <c r="L313" i="2"/>
  <c r="M313" i="2" s="1"/>
  <c r="L314" i="2"/>
  <c r="M314" i="2" s="1"/>
  <c r="L315" i="2"/>
  <c r="M315" i="2" s="1"/>
  <c r="L316" i="2"/>
  <c r="M316" i="2" s="1"/>
  <c r="L317" i="2"/>
  <c r="M317" i="2" s="1"/>
  <c r="L318" i="2"/>
  <c r="M318" i="2" s="1"/>
  <c r="L319" i="2"/>
  <c r="M319" i="2" s="1"/>
  <c r="L320" i="2"/>
  <c r="M320" i="2" s="1"/>
  <c r="L321" i="2"/>
  <c r="M321" i="2" s="1"/>
  <c r="L322" i="2"/>
  <c r="M322" i="2" s="1"/>
  <c r="L323" i="2"/>
  <c r="M323" i="2" s="1"/>
  <c r="L324" i="2"/>
  <c r="M324" i="2" s="1"/>
  <c r="L325" i="2"/>
  <c r="M325" i="2" s="1"/>
  <c r="L326" i="2"/>
  <c r="M326" i="2" s="1"/>
  <c r="L327" i="2"/>
  <c r="M327" i="2" s="1"/>
  <c r="L328" i="2"/>
  <c r="M328" i="2" s="1"/>
  <c r="L329" i="2"/>
  <c r="M329" i="2" s="1"/>
  <c r="L330" i="2"/>
  <c r="M330" i="2" s="1"/>
  <c r="L331" i="2"/>
  <c r="M331" i="2" s="1"/>
  <c r="L332" i="2"/>
  <c r="M332" i="2" s="1"/>
  <c r="L333" i="2"/>
  <c r="M333" i="2" s="1"/>
  <c r="L334" i="2"/>
  <c r="M334" i="2" s="1"/>
  <c r="L335" i="2"/>
  <c r="M335" i="2" s="1"/>
  <c r="L336" i="2"/>
  <c r="M336" i="2" s="1"/>
  <c r="L337" i="2"/>
  <c r="M337" i="2" s="1"/>
  <c r="L338" i="2"/>
  <c r="M338" i="2" s="1"/>
  <c r="L339" i="2"/>
  <c r="M339" i="2" s="1"/>
  <c r="L340" i="2"/>
  <c r="M340" i="2" s="1"/>
  <c r="L341" i="2"/>
  <c r="M341" i="2" s="1"/>
  <c r="L342" i="2"/>
  <c r="M342" i="2" s="1"/>
  <c r="L343" i="2"/>
  <c r="M343" i="2" s="1"/>
  <c r="L344" i="2"/>
  <c r="M344" i="2" s="1"/>
  <c r="L345" i="2"/>
  <c r="M345" i="2" s="1"/>
  <c r="L346" i="2"/>
  <c r="M346" i="2" s="1"/>
  <c r="L347" i="2"/>
  <c r="M347" i="2" s="1"/>
  <c r="L348" i="2"/>
  <c r="M348" i="2" s="1"/>
  <c r="L349" i="2"/>
  <c r="M349" i="2" s="1"/>
  <c r="L350" i="2"/>
  <c r="M350" i="2" s="1"/>
  <c r="L351" i="2"/>
  <c r="M351" i="2" s="1"/>
  <c r="L352" i="2"/>
  <c r="M352" i="2" s="1"/>
  <c r="L353" i="2"/>
  <c r="M353" i="2" s="1"/>
  <c r="L354" i="2"/>
  <c r="M354" i="2" s="1"/>
  <c r="L355" i="2"/>
  <c r="M355" i="2" s="1"/>
  <c r="L356" i="2"/>
  <c r="M356" i="2" s="1"/>
  <c r="L357" i="2"/>
  <c r="M357" i="2" s="1"/>
  <c r="L358" i="2"/>
  <c r="M358" i="2" s="1"/>
  <c r="L359" i="2"/>
  <c r="M359" i="2" s="1"/>
  <c r="L360" i="2"/>
  <c r="M360" i="2" s="1"/>
  <c r="L361" i="2"/>
  <c r="M361" i="2" s="1"/>
  <c r="L362" i="2"/>
  <c r="M362" i="2" s="1"/>
  <c r="L363" i="2"/>
  <c r="M363" i="2" s="1"/>
  <c r="L364" i="2"/>
  <c r="M364" i="2" s="1"/>
  <c r="L365" i="2"/>
  <c r="M365" i="2" s="1"/>
  <c r="L366" i="2"/>
  <c r="M366" i="2" s="1"/>
  <c r="L367" i="2"/>
  <c r="M367" i="2" s="1"/>
  <c r="L368" i="2"/>
  <c r="M368" i="2" s="1"/>
  <c r="L369" i="2"/>
  <c r="M369" i="2" s="1"/>
  <c r="L370" i="2"/>
  <c r="M370" i="2" s="1"/>
  <c r="L371" i="2"/>
  <c r="M371" i="2" s="1"/>
  <c r="L372" i="2"/>
  <c r="M372" i="2" s="1"/>
  <c r="L373" i="2"/>
  <c r="M373" i="2" s="1"/>
  <c r="L374" i="2"/>
  <c r="M374" i="2" s="1"/>
  <c r="L375" i="2"/>
  <c r="M375" i="2" s="1"/>
  <c r="L376" i="2"/>
  <c r="M376" i="2" s="1"/>
  <c r="L377" i="2"/>
  <c r="M377" i="2" s="1"/>
  <c r="L378" i="2"/>
  <c r="M378" i="2" s="1"/>
  <c r="L379" i="2"/>
  <c r="M379" i="2" s="1"/>
  <c r="L380" i="2"/>
  <c r="M380" i="2" s="1"/>
  <c r="L381" i="2"/>
  <c r="M381" i="2" s="1"/>
  <c r="L382" i="2"/>
  <c r="M382" i="2" s="1"/>
  <c r="L383" i="2"/>
  <c r="M383" i="2" s="1"/>
  <c r="L384" i="2"/>
  <c r="M384" i="2" s="1"/>
  <c r="L385" i="2"/>
  <c r="M385" i="2" s="1"/>
  <c r="L386" i="2"/>
  <c r="M386" i="2" s="1"/>
  <c r="L387" i="2"/>
  <c r="M387" i="2" s="1"/>
  <c r="L388" i="2"/>
  <c r="M388" i="2" s="1"/>
  <c r="L389" i="2"/>
  <c r="M389" i="2" s="1"/>
  <c r="L390" i="2"/>
  <c r="M390" i="2" s="1"/>
  <c r="L391" i="2"/>
  <c r="M391" i="2" s="1"/>
  <c r="L392" i="2"/>
  <c r="M392" i="2" s="1"/>
  <c r="L393" i="2"/>
  <c r="M393" i="2" s="1"/>
  <c r="L394" i="2"/>
  <c r="M394" i="2" s="1"/>
  <c r="L395" i="2"/>
  <c r="M395" i="2" s="1"/>
  <c r="L396" i="2"/>
  <c r="M396" i="2" s="1"/>
  <c r="L397" i="2"/>
  <c r="M397" i="2" s="1"/>
  <c r="L398" i="2"/>
  <c r="M398" i="2" s="1"/>
  <c r="L399" i="2"/>
  <c r="M399" i="2" s="1"/>
  <c r="L400" i="2"/>
  <c r="M400" i="2" s="1"/>
  <c r="L401" i="2"/>
  <c r="M401" i="2" s="1"/>
  <c r="L402" i="2"/>
  <c r="M402" i="2" s="1"/>
  <c r="L403" i="2"/>
  <c r="M403" i="2" s="1"/>
  <c r="L404" i="2"/>
  <c r="M404" i="2" s="1"/>
  <c r="L405" i="2"/>
  <c r="M405" i="2" s="1"/>
  <c r="L406" i="2"/>
  <c r="M406" i="2" s="1"/>
  <c r="L407" i="2"/>
  <c r="M407" i="2" s="1"/>
  <c r="L408" i="2"/>
  <c r="M408" i="2" s="1"/>
  <c r="L409" i="2"/>
  <c r="M409" i="2" s="1"/>
  <c r="L410" i="2"/>
  <c r="M410" i="2" s="1"/>
  <c r="L411" i="2"/>
  <c r="M411" i="2" s="1"/>
  <c r="L412" i="2"/>
  <c r="M412" i="2" s="1"/>
  <c r="L413" i="2"/>
  <c r="M413" i="2" s="1"/>
  <c r="L414" i="2"/>
  <c r="M414" i="2" s="1"/>
  <c r="L415" i="2"/>
  <c r="M415" i="2" s="1"/>
  <c r="L416" i="2"/>
  <c r="M416" i="2" s="1"/>
  <c r="L417" i="2"/>
  <c r="M417" i="2" s="1"/>
  <c r="L418" i="2"/>
  <c r="M418" i="2" s="1"/>
  <c r="L419" i="2"/>
  <c r="M419" i="2" s="1"/>
  <c r="L420" i="2"/>
  <c r="M420" i="2" s="1"/>
  <c r="L421" i="2"/>
  <c r="M421" i="2" s="1"/>
  <c r="L422" i="2"/>
  <c r="M422" i="2" s="1"/>
  <c r="L423" i="2"/>
  <c r="M423" i="2" s="1"/>
  <c r="L424" i="2"/>
  <c r="M424" i="2" s="1"/>
  <c r="L425" i="2"/>
  <c r="M425" i="2" s="1"/>
  <c r="L426" i="2"/>
  <c r="M426" i="2" s="1"/>
  <c r="L427" i="2"/>
  <c r="M427" i="2" s="1"/>
  <c r="L428" i="2"/>
  <c r="M428" i="2" s="1"/>
  <c r="L429" i="2"/>
  <c r="M429" i="2" s="1"/>
  <c r="L430" i="2"/>
  <c r="M430" i="2" s="1"/>
  <c r="L431" i="2"/>
  <c r="M431" i="2" s="1"/>
  <c r="L432" i="2"/>
  <c r="M432" i="2" s="1"/>
  <c r="L433" i="2"/>
  <c r="M433" i="2" s="1"/>
  <c r="L434" i="2"/>
  <c r="M434" i="2" s="1"/>
  <c r="L435" i="2"/>
  <c r="M435" i="2" s="1"/>
  <c r="L436" i="2"/>
  <c r="M436" i="2" s="1"/>
  <c r="L437" i="2"/>
  <c r="M437" i="2" s="1"/>
  <c r="L438" i="2"/>
  <c r="M438" i="2" s="1"/>
  <c r="L439" i="2"/>
  <c r="M439" i="2" s="1"/>
  <c r="L440" i="2"/>
  <c r="M440" i="2" s="1"/>
  <c r="L441" i="2"/>
  <c r="M441" i="2" s="1"/>
  <c r="L442" i="2"/>
  <c r="M442" i="2" s="1"/>
  <c r="L443" i="2"/>
  <c r="M443" i="2" s="1"/>
  <c r="L444" i="2"/>
  <c r="M444" i="2" s="1"/>
  <c r="L445" i="2"/>
  <c r="M445" i="2" s="1"/>
  <c r="L446" i="2"/>
  <c r="M446" i="2" s="1"/>
  <c r="L447" i="2"/>
  <c r="M447" i="2" s="1"/>
  <c r="L448" i="2"/>
  <c r="M448" i="2" s="1"/>
  <c r="L449" i="2"/>
  <c r="M449" i="2" s="1"/>
  <c r="L450" i="2"/>
  <c r="M450" i="2" s="1"/>
  <c r="L451" i="2"/>
  <c r="M451" i="2" s="1"/>
  <c r="L452" i="2"/>
  <c r="M452" i="2" s="1"/>
  <c r="L453" i="2"/>
  <c r="M453" i="2" s="1"/>
  <c r="L454" i="2"/>
  <c r="M454" i="2" s="1"/>
  <c r="L455" i="2"/>
  <c r="M455" i="2" s="1"/>
  <c r="L456" i="2"/>
  <c r="M456" i="2" s="1"/>
  <c r="L457" i="2"/>
  <c r="M457" i="2" s="1"/>
  <c r="L458" i="2"/>
  <c r="M458" i="2" s="1"/>
  <c r="L459" i="2"/>
  <c r="M459" i="2" s="1"/>
  <c r="L460" i="2"/>
  <c r="M460" i="2" s="1"/>
  <c r="L461" i="2"/>
  <c r="M461" i="2" s="1"/>
  <c r="L462" i="2"/>
  <c r="M462" i="2" s="1"/>
  <c r="L463" i="2"/>
  <c r="M463" i="2" s="1"/>
  <c r="L464" i="2"/>
  <c r="M464" i="2" s="1"/>
  <c r="L465" i="2"/>
  <c r="M465" i="2" s="1"/>
  <c r="L466" i="2"/>
  <c r="M466" i="2" s="1"/>
  <c r="L467" i="2"/>
  <c r="M467" i="2" s="1"/>
  <c r="L468" i="2"/>
  <c r="M468" i="2" s="1"/>
  <c r="L469" i="2"/>
  <c r="M469" i="2" s="1"/>
  <c r="L470" i="2"/>
  <c r="M470" i="2" s="1"/>
  <c r="L471" i="2"/>
  <c r="M471" i="2" s="1"/>
  <c r="L472" i="2"/>
  <c r="M472" i="2" s="1"/>
  <c r="L473" i="2"/>
  <c r="M473" i="2" s="1"/>
  <c r="L474" i="2"/>
  <c r="M474" i="2" s="1"/>
  <c r="L475" i="2"/>
  <c r="M475" i="2" s="1"/>
  <c r="L476" i="2"/>
  <c r="M476" i="2" s="1"/>
  <c r="L477" i="2"/>
  <c r="M477" i="2" s="1"/>
  <c r="L478" i="2"/>
  <c r="M478" i="2" s="1"/>
  <c r="L479" i="2"/>
  <c r="M479" i="2" s="1"/>
  <c r="L480" i="2"/>
  <c r="M480" i="2" s="1"/>
  <c r="L481" i="2"/>
  <c r="M481" i="2" s="1"/>
  <c r="L482" i="2"/>
  <c r="M482" i="2" s="1"/>
  <c r="L483" i="2"/>
  <c r="M483" i="2" s="1"/>
  <c r="L484" i="2"/>
  <c r="M484" i="2" s="1"/>
  <c r="L485" i="2"/>
  <c r="M485" i="2" s="1"/>
  <c r="L486" i="2"/>
  <c r="M486" i="2" s="1"/>
  <c r="L487" i="2"/>
  <c r="M487" i="2" s="1"/>
  <c r="L488" i="2"/>
  <c r="M488" i="2" s="1"/>
  <c r="L489" i="2"/>
  <c r="M489" i="2" s="1"/>
  <c r="L490" i="2"/>
  <c r="M490" i="2" s="1"/>
  <c r="L491" i="2"/>
  <c r="M491" i="2" s="1"/>
  <c r="L492" i="2"/>
  <c r="M492" i="2" s="1"/>
  <c r="L493" i="2"/>
  <c r="M493" i="2" s="1"/>
  <c r="L494" i="2"/>
  <c r="M494" i="2" s="1"/>
  <c r="L495" i="2"/>
  <c r="M495" i="2" s="1"/>
  <c r="L496" i="2"/>
  <c r="M496" i="2" s="1"/>
  <c r="L497" i="2"/>
  <c r="M497" i="2" s="1"/>
  <c r="L498" i="2"/>
  <c r="M498" i="2" s="1"/>
  <c r="L499" i="2"/>
  <c r="M499" i="2" s="1"/>
  <c r="L500" i="2"/>
  <c r="M500" i="2" s="1"/>
  <c r="L501" i="2"/>
  <c r="M501" i="2" s="1"/>
  <c r="L502" i="2"/>
  <c r="M502" i="2" s="1"/>
  <c r="L503" i="2"/>
  <c r="M503" i="2" s="1"/>
  <c r="L504" i="2"/>
  <c r="M504" i="2" s="1"/>
  <c r="L505" i="2"/>
  <c r="M505" i="2" s="1"/>
  <c r="L506" i="2"/>
  <c r="M506" i="2" s="1"/>
  <c r="L507" i="2"/>
  <c r="M507" i="2" s="1"/>
  <c r="L508" i="2"/>
  <c r="M508" i="2" s="1"/>
  <c r="L509" i="2"/>
  <c r="M509" i="2" s="1"/>
  <c r="L510" i="2"/>
  <c r="M510" i="2" s="1"/>
  <c r="L511" i="2"/>
  <c r="M511" i="2" s="1"/>
  <c r="L512" i="2"/>
  <c r="M512" i="2" s="1"/>
  <c r="L513" i="2"/>
  <c r="M513" i="2" s="1"/>
  <c r="L514" i="2"/>
  <c r="M514" i="2" s="1"/>
  <c r="L515" i="2"/>
  <c r="M515" i="2" s="1"/>
  <c r="L516" i="2"/>
  <c r="M516" i="2" s="1"/>
  <c r="L517" i="2"/>
  <c r="M517" i="2" s="1"/>
  <c r="L518" i="2"/>
  <c r="M518" i="2" s="1"/>
  <c r="L519" i="2"/>
  <c r="M519" i="2" s="1"/>
  <c r="L520" i="2"/>
  <c r="M520" i="2" s="1"/>
  <c r="L521" i="2"/>
  <c r="M521" i="2" s="1"/>
  <c r="L522" i="2"/>
  <c r="M522" i="2" s="1"/>
  <c r="L523" i="2"/>
  <c r="M523" i="2" s="1"/>
  <c r="L524" i="2"/>
  <c r="M524" i="2" s="1"/>
  <c r="L525" i="2"/>
  <c r="M525" i="2" s="1"/>
  <c r="L526" i="2"/>
  <c r="M526" i="2" s="1"/>
  <c r="L527" i="2"/>
  <c r="M527" i="2" s="1"/>
  <c r="L528" i="2"/>
  <c r="M528" i="2" s="1"/>
  <c r="L529" i="2"/>
  <c r="M529" i="2" s="1"/>
  <c r="L530" i="2"/>
  <c r="M530" i="2" s="1"/>
  <c r="L531" i="2"/>
  <c r="M531" i="2" s="1"/>
  <c r="L532" i="2"/>
  <c r="M532" i="2" s="1"/>
  <c r="L533" i="2"/>
  <c r="M533" i="2" s="1"/>
  <c r="L534" i="2"/>
  <c r="M534" i="2" s="1"/>
  <c r="L535" i="2"/>
  <c r="M535" i="2" s="1"/>
  <c r="L536" i="2"/>
  <c r="M536" i="2" s="1"/>
  <c r="L537" i="2"/>
  <c r="M537" i="2" s="1"/>
  <c r="L538" i="2"/>
  <c r="M538" i="2" s="1"/>
  <c r="L539" i="2"/>
  <c r="M539" i="2" s="1"/>
  <c r="L540" i="2"/>
  <c r="M540" i="2" s="1"/>
  <c r="L541" i="2"/>
  <c r="M541" i="2" s="1"/>
  <c r="L542" i="2"/>
  <c r="M542" i="2" s="1"/>
  <c r="L543" i="2"/>
  <c r="M543" i="2" s="1"/>
  <c r="L544" i="2"/>
  <c r="M544" i="2" s="1"/>
  <c r="L545" i="2"/>
  <c r="M545" i="2" s="1"/>
  <c r="L546" i="2"/>
  <c r="M546" i="2" s="1"/>
  <c r="L547" i="2"/>
  <c r="M547" i="2" s="1"/>
  <c r="L548" i="2"/>
  <c r="M548" i="2" s="1"/>
  <c r="L549" i="2"/>
  <c r="M549" i="2" s="1"/>
  <c r="L550" i="2"/>
  <c r="M550" i="2" s="1"/>
  <c r="L551" i="2"/>
  <c r="M551" i="2" s="1"/>
  <c r="L552" i="2"/>
  <c r="M552" i="2" s="1"/>
  <c r="L553" i="2"/>
  <c r="M553" i="2" s="1"/>
  <c r="L554" i="2"/>
  <c r="M554" i="2" s="1"/>
  <c r="L555" i="2"/>
  <c r="M555" i="2" s="1"/>
  <c r="L556" i="2"/>
  <c r="M556" i="2" s="1"/>
  <c r="L557" i="2"/>
  <c r="M557" i="2" s="1"/>
  <c r="L558" i="2"/>
  <c r="M558" i="2" s="1"/>
  <c r="L559" i="2"/>
  <c r="M559" i="2" s="1"/>
  <c r="L560" i="2"/>
  <c r="M560" i="2" s="1"/>
  <c r="L561" i="2"/>
  <c r="M561" i="2" s="1"/>
  <c r="L562" i="2"/>
  <c r="M562" i="2" s="1"/>
  <c r="L563" i="2"/>
  <c r="M563" i="2" s="1"/>
  <c r="L564" i="2"/>
  <c r="M564" i="2" s="1"/>
  <c r="L565" i="2"/>
  <c r="M565" i="2" s="1"/>
  <c r="L566" i="2"/>
  <c r="M566" i="2" s="1"/>
  <c r="L567" i="2"/>
  <c r="M567" i="2" s="1"/>
  <c r="L568" i="2"/>
  <c r="M568" i="2" s="1"/>
  <c r="L569" i="2"/>
  <c r="M569" i="2" s="1"/>
  <c r="L570" i="2"/>
  <c r="M570" i="2" s="1"/>
  <c r="L571" i="2"/>
  <c r="M571" i="2" s="1"/>
  <c r="L572" i="2"/>
  <c r="M572" i="2" s="1"/>
  <c r="L573" i="2"/>
  <c r="M573" i="2" s="1"/>
  <c r="L574" i="2"/>
  <c r="M574" i="2" s="1"/>
  <c r="L575" i="2"/>
  <c r="M575" i="2" s="1"/>
  <c r="L576" i="2"/>
  <c r="M576" i="2" s="1"/>
  <c r="L577" i="2"/>
  <c r="M577" i="2" s="1"/>
  <c r="L578" i="2"/>
  <c r="M578" i="2" s="1"/>
  <c r="L579" i="2"/>
  <c r="M579" i="2" s="1"/>
  <c r="L580" i="2"/>
  <c r="M580" i="2" s="1"/>
  <c r="L581" i="2"/>
  <c r="M581" i="2" s="1"/>
  <c r="L582" i="2"/>
  <c r="M582" i="2" s="1"/>
  <c r="L583" i="2"/>
  <c r="M583" i="2" s="1"/>
  <c r="L584" i="2"/>
  <c r="M584" i="2" s="1"/>
  <c r="L585" i="2"/>
  <c r="M585" i="2" s="1"/>
  <c r="L586" i="2"/>
  <c r="M586" i="2" s="1"/>
  <c r="L587" i="2"/>
  <c r="M587" i="2" s="1"/>
  <c r="L588" i="2"/>
  <c r="M588" i="2" s="1"/>
  <c r="L589" i="2"/>
  <c r="M589" i="2" s="1"/>
  <c r="L590" i="2"/>
  <c r="M590" i="2" s="1"/>
  <c r="L591" i="2"/>
  <c r="M591" i="2" s="1"/>
  <c r="L592" i="2"/>
  <c r="M592" i="2" s="1"/>
  <c r="L593" i="2"/>
  <c r="M593" i="2" s="1"/>
  <c r="L594" i="2"/>
  <c r="M594" i="2" s="1"/>
  <c r="L595" i="2"/>
  <c r="M595" i="2" s="1"/>
  <c r="L596" i="2"/>
  <c r="M596" i="2" s="1"/>
  <c r="L597" i="2"/>
  <c r="M597" i="2" s="1"/>
  <c r="L598" i="2"/>
  <c r="M598" i="2" s="1"/>
  <c r="L599" i="2"/>
  <c r="M599" i="2" s="1"/>
  <c r="L600" i="2"/>
  <c r="M600" i="2" s="1"/>
  <c r="L601" i="2"/>
  <c r="M601" i="2" s="1"/>
  <c r="L602" i="2"/>
  <c r="M602" i="2" s="1"/>
  <c r="L603" i="2"/>
  <c r="M603" i="2" s="1"/>
  <c r="L604" i="2"/>
  <c r="M604" i="2" s="1"/>
  <c r="L605" i="2"/>
  <c r="M605" i="2" s="1"/>
  <c r="L606" i="2"/>
  <c r="M606" i="2" s="1"/>
  <c r="L607" i="2"/>
  <c r="M607" i="2" s="1"/>
  <c r="L608" i="2"/>
  <c r="M608" i="2" s="1"/>
  <c r="L609" i="2"/>
  <c r="M609" i="2" s="1"/>
  <c r="L610" i="2"/>
  <c r="M610" i="2" s="1"/>
  <c r="L611" i="2"/>
  <c r="M611" i="2" s="1"/>
  <c r="L612" i="2"/>
  <c r="M612" i="2" s="1"/>
  <c r="L613" i="2"/>
  <c r="M613" i="2" s="1"/>
  <c r="L614" i="2"/>
  <c r="M614" i="2" s="1"/>
  <c r="L615" i="2"/>
  <c r="M615" i="2" s="1"/>
  <c r="L616" i="2"/>
  <c r="M616" i="2" s="1"/>
  <c r="L617" i="2"/>
  <c r="M617" i="2" s="1"/>
  <c r="L618" i="2"/>
  <c r="M618" i="2" s="1"/>
  <c r="L619" i="2"/>
  <c r="M619" i="2" s="1"/>
  <c r="L620" i="2"/>
  <c r="M620" i="2" s="1"/>
  <c r="L621" i="2"/>
  <c r="M621" i="2" s="1"/>
  <c r="L622" i="2"/>
  <c r="M622" i="2" s="1"/>
  <c r="L623" i="2"/>
  <c r="M623" i="2" s="1"/>
  <c r="L624" i="2"/>
  <c r="M624" i="2" s="1"/>
  <c r="L625" i="2"/>
  <c r="M625" i="2" s="1"/>
  <c r="L626" i="2"/>
  <c r="M626" i="2" s="1"/>
  <c r="L627" i="2"/>
  <c r="M627" i="2" s="1"/>
  <c r="L628" i="2"/>
  <c r="M628" i="2" s="1"/>
  <c r="L629" i="2"/>
  <c r="M629" i="2" s="1"/>
  <c r="L630" i="2"/>
  <c r="M630" i="2" s="1"/>
  <c r="L631" i="2"/>
  <c r="M631" i="2" s="1"/>
  <c r="L632" i="2"/>
  <c r="M632" i="2" s="1"/>
  <c r="L633" i="2"/>
  <c r="M633" i="2" s="1"/>
  <c r="L634" i="2"/>
  <c r="M634" i="2" s="1"/>
  <c r="L635" i="2"/>
  <c r="M635" i="2" s="1"/>
  <c r="L636" i="2"/>
  <c r="M636" i="2" s="1"/>
  <c r="L637" i="2"/>
  <c r="M637" i="2" s="1"/>
  <c r="L638" i="2"/>
  <c r="M638" i="2" s="1"/>
  <c r="L639" i="2"/>
  <c r="M639" i="2" s="1"/>
  <c r="L640" i="2"/>
  <c r="M640" i="2" s="1"/>
  <c r="L641" i="2"/>
  <c r="M641" i="2" s="1"/>
  <c r="L642" i="2"/>
  <c r="M642" i="2" s="1"/>
  <c r="L643" i="2"/>
  <c r="M643" i="2" s="1"/>
  <c r="L644" i="2"/>
  <c r="M644" i="2" s="1"/>
  <c r="L645" i="2"/>
  <c r="M645" i="2" s="1"/>
  <c r="L646" i="2"/>
  <c r="M646" i="2" s="1"/>
  <c r="L647" i="2"/>
  <c r="M647" i="2" s="1"/>
  <c r="L648" i="2"/>
  <c r="M648" i="2" s="1"/>
  <c r="L649" i="2"/>
  <c r="M649" i="2" s="1"/>
  <c r="L650" i="2"/>
  <c r="M650" i="2" s="1"/>
  <c r="L651" i="2"/>
  <c r="M651" i="2" s="1"/>
  <c r="L652" i="2"/>
  <c r="M652" i="2" s="1"/>
  <c r="L653" i="2"/>
  <c r="M653" i="2" s="1"/>
  <c r="L654" i="2"/>
  <c r="M654" i="2" s="1"/>
  <c r="L655" i="2"/>
  <c r="M655" i="2" s="1"/>
  <c r="L656" i="2"/>
  <c r="M656" i="2" s="1"/>
  <c r="L657" i="2"/>
  <c r="M657" i="2" s="1"/>
  <c r="L658" i="2"/>
  <c r="M658" i="2" s="1"/>
  <c r="L659" i="2"/>
  <c r="M659" i="2" s="1"/>
  <c r="L660" i="2"/>
  <c r="M660" i="2" s="1"/>
  <c r="L661" i="2"/>
  <c r="M661" i="2" s="1"/>
  <c r="L662" i="2"/>
  <c r="M662" i="2" s="1"/>
  <c r="L663" i="2"/>
  <c r="M663" i="2" s="1"/>
  <c r="L664" i="2"/>
  <c r="M664" i="2" s="1"/>
  <c r="L665" i="2"/>
  <c r="M665" i="2" s="1"/>
  <c r="L666" i="2"/>
  <c r="M666" i="2" s="1"/>
  <c r="L667" i="2"/>
  <c r="M667" i="2" s="1"/>
  <c r="L668" i="2"/>
  <c r="M668" i="2" s="1"/>
  <c r="L669" i="2"/>
  <c r="M669" i="2" s="1"/>
  <c r="L670" i="2"/>
  <c r="M670" i="2" s="1"/>
  <c r="L671" i="2"/>
  <c r="M671" i="2" s="1"/>
  <c r="L672" i="2"/>
  <c r="M672" i="2" s="1"/>
  <c r="L673" i="2"/>
  <c r="M673" i="2" s="1"/>
  <c r="L674" i="2"/>
  <c r="M674" i="2" s="1"/>
  <c r="L675" i="2"/>
  <c r="M675" i="2" s="1"/>
  <c r="L676" i="2"/>
  <c r="M676" i="2" s="1"/>
  <c r="L677" i="2"/>
  <c r="M677" i="2" s="1"/>
  <c r="L678" i="2"/>
  <c r="M678" i="2" s="1"/>
  <c r="L679" i="2"/>
  <c r="M679" i="2" s="1"/>
  <c r="L680" i="2"/>
  <c r="M680" i="2" s="1"/>
  <c r="L681" i="2"/>
  <c r="M681" i="2" s="1"/>
  <c r="L682" i="2"/>
  <c r="M682" i="2" s="1"/>
  <c r="L683" i="2"/>
  <c r="M683" i="2" s="1"/>
  <c r="L684" i="2"/>
  <c r="M684" i="2" s="1"/>
  <c r="L685" i="2"/>
  <c r="M685" i="2" s="1"/>
  <c r="L686" i="2"/>
  <c r="M686" i="2" s="1"/>
  <c r="L687" i="2"/>
  <c r="M687" i="2" s="1"/>
  <c r="L688" i="2"/>
  <c r="M688" i="2" s="1"/>
  <c r="L689" i="2"/>
  <c r="M689" i="2" s="1"/>
  <c r="L690" i="2"/>
  <c r="M690" i="2" s="1"/>
  <c r="L691" i="2"/>
  <c r="M691" i="2" s="1"/>
  <c r="L692" i="2"/>
  <c r="M692" i="2" s="1"/>
  <c r="L693" i="2"/>
  <c r="M693" i="2" s="1"/>
  <c r="L694" i="2"/>
  <c r="M694" i="2" s="1"/>
  <c r="L695" i="2"/>
  <c r="M695" i="2" s="1"/>
  <c r="L696" i="2"/>
  <c r="M696" i="2" s="1"/>
  <c r="L697" i="2"/>
  <c r="M697" i="2" s="1"/>
  <c r="L698" i="2"/>
  <c r="M698" i="2" s="1"/>
  <c r="L699" i="2"/>
  <c r="M699" i="2" s="1"/>
  <c r="L700" i="2"/>
  <c r="M700" i="2" s="1"/>
  <c r="L701" i="2"/>
  <c r="M701" i="2" s="1"/>
  <c r="L702" i="2"/>
  <c r="M702" i="2" s="1"/>
  <c r="L703" i="2"/>
  <c r="M703" i="2" s="1"/>
  <c r="L704" i="2"/>
  <c r="M704" i="2" s="1"/>
  <c r="L705" i="2"/>
  <c r="M705" i="2" s="1"/>
  <c r="L706" i="2"/>
  <c r="M706" i="2" s="1"/>
  <c r="L707" i="2"/>
  <c r="M707" i="2" s="1"/>
  <c r="L708" i="2"/>
  <c r="M708" i="2" s="1"/>
  <c r="L709" i="2"/>
  <c r="M709" i="2" s="1"/>
  <c r="L710" i="2"/>
  <c r="M710" i="2" s="1"/>
  <c r="L711" i="2"/>
  <c r="M711" i="2" s="1"/>
  <c r="L712" i="2"/>
  <c r="M712" i="2" s="1"/>
  <c r="L713" i="2"/>
  <c r="M713" i="2" s="1"/>
  <c r="L714" i="2"/>
  <c r="M714" i="2" s="1"/>
  <c r="L715" i="2"/>
  <c r="M715" i="2" s="1"/>
  <c r="L716" i="2"/>
  <c r="M716" i="2" s="1"/>
  <c r="L717" i="2"/>
  <c r="M717" i="2" s="1"/>
  <c r="L718" i="2"/>
  <c r="M718" i="2" s="1"/>
  <c r="L719" i="2"/>
  <c r="M719" i="2" s="1"/>
  <c r="L720" i="2"/>
  <c r="M720" i="2" s="1"/>
  <c r="L721" i="2"/>
  <c r="M721" i="2" s="1"/>
  <c r="L722" i="2"/>
  <c r="M722" i="2" s="1"/>
  <c r="L723" i="2"/>
  <c r="M723" i="2" s="1"/>
  <c r="L724" i="2"/>
  <c r="M724" i="2" s="1"/>
  <c r="L725" i="2"/>
  <c r="M725" i="2" s="1"/>
  <c r="L726" i="2"/>
  <c r="M726" i="2" s="1"/>
  <c r="L727" i="2"/>
  <c r="M727" i="2" s="1"/>
  <c r="L728" i="2"/>
  <c r="M728" i="2" s="1"/>
  <c r="L729" i="2"/>
  <c r="M729" i="2" s="1"/>
  <c r="L730" i="2"/>
  <c r="M730" i="2" s="1"/>
  <c r="L731" i="2"/>
  <c r="M731" i="2" s="1"/>
  <c r="L732" i="2"/>
  <c r="M732" i="2" s="1"/>
  <c r="L733" i="2"/>
  <c r="M733" i="2" s="1"/>
  <c r="L734" i="2"/>
  <c r="M734" i="2" s="1"/>
  <c r="L735" i="2"/>
  <c r="M735" i="2" s="1"/>
  <c r="L736" i="2"/>
  <c r="M736" i="2" s="1"/>
  <c r="L737" i="2"/>
  <c r="M737" i="2" s="1"/>
  <c r="L738" i="2"/>
  <c r="M738" i="2" s="1"/>
  <c r="L739" i="2"/>
  <c r="M739" i="2" s="1"/>
  <c r="L740" i="2"/>
  <c r="M740" i="2" s="1"/>
  <c r="L741" i="2"/>
  <c r="M741" i="2" s="1"/>
  <c r="L742" i="2"/>
  <c r="M742" i="2" s="1"/>
  <c r="L743" i="2"/>
  <c r="M743" i="2" s="1"/>
  <c r="L744" i="2"/>
  <c r="M744" i="2" s="1"/>
  <c r="L745" i="2"/>
  <c r="M745" i="2" s="1"/>
  <c r="L746" i="2"/>
  <c r="M746" i="2" s="1"/>
  <c r="L747" i="2"/>
  <c r="M747" i="2" s="1"/>
  <c r="L748" i="2"/>
  <c r="M748" i="2" s="1"/>
  <c r="L749" i="2"/>
  <c r="M749" i="2" s="1"/>
  <c r="L750" i="2"/>
  <c r="M750" i="2" s="1"/>
  <c r="L751" i="2"/>
  <c r="M751" i="2" s="1"/>
  <c r="L752" i="2"/>
  <c r="M752" i="2" s="1"/>
  <c r="L753" i="2"/>
  <c r="M753" i="2" s="1"/>
  <c r="L754" i="2"/>
  <c r="M754" i="2" s="1"/>
  <c r="L755" i="2"/>
  <c r="M755" i="2" s="1"/>
  <c r="L756" i="2"/>
  <c r="M756" i="2" s="1"/>
  <c r="L757" i="2"/>
  <c r="M757" i="2" s="1"/>
  <c r="L758" i="2"/>
  <c r="M758" i="2" s="1"/>
  <c r="L759" i="2"/>
  <c r="M759" i="2" s="1"/>
  <c r="L760" i="2"/>
  <c r="M760" i="2" s="1"/>
  <c r="L761" i="2"/>
  <c r="M761" i="2" s="1"/>
  <c r="L762" i="2"/>
  <c r="M762" i="2" s="1"/>
  <c r="L763" i="2"/>
  <c r="M763" i="2" s="1"/>
  <c r="L764" i="2"/>
  <c r="M764" i="2" s="1"/>
  <c r="L765" i="2"/>
  <c r="M765" i="2" s="1"/>
  <c r="L766" i="2"/>
  <c r="M766" i="2" s="1"/>
  <c r="L767" i="2"/>
  <c r="M767" i="2" s="1"/>
  <c r="L768" i="2"/>
  <c r="M768" i="2" s="1"/>
  <c r="L769" i="2"/>
  <c r="M769" i="2" s="1"/>
  <c r="L770" i="2"/>
  <c r="M770" i="2" s="1"/>
  <c r="L771" i="2"/>
  <c r="M771" i="2" s="1"/>
  <c r="L772" i="2"/>
  <c r="M772" i="2" s="1"/>
  <c r="L773" i="2"/>
  <c r="M773" i="2" s="1"/>
  <c r="L774" i="2"/>
  <c r="M774" i="2" s="1"/>
  <c r="L775" i="2"/>
  <c r="M775" i="2" s="1"/>
  <c r="L776" i="2"/>
  <c r="M776" i="2" s="1"/>
  <c r="L777" i="2"/>
  <c r="M777" i="2" s="1"/>
  <c r="L778" i="2"/>
  <c r="M778" i="2" s="1"/>
  <c r="L779" i="2"/>
  <c r="M779" i="2" s="1"/>
  <c r="L780" i="2"/>
  <c r="M780" i="2" s="1"/>
  <c r="L781" i="2"/>
  <c r="M781" i="2" s="1"/>
  <c r="L782" i="2"/>
  <c r="M782" i="2" s="1"/>
  <c r="L783" i="2"/>
  <c r="M783" i="2" s="1"/>
  <c r="L784" i="2"/>
  <c r="M784" i="2" s="1"/>
  <c r="L785" i="2"/>
  <c r="M785" i="2" s="1"/>
  <c r="L786" i="2"/>
  <c r="M786" i="2" s="1"/>
  <c r="L787" i="2"/>
  <c r="M787" i="2" s="1"/>
  <c r="L788" i="2"/>
  <c r="M788" i="2" s="1"/>
  <c r="L789" i="2"/>
  <c r="M789" i="2" s="1"/>
  <c r="L790" i="2"/>
  <c r="M790" i="2" s="1"/>
  <c r="L791" i="2"/>
  <c r="M791" i="2" s="1"/>
  <c r="L792" i="2"/>
  <c r="M792" i="2" s="1"/>
  <c r="L793" i="2"/>
  <c r="M793" i="2" s="1"/>
  <c r="L794" i="2"/>
  <c r="M794" i="2" s="1"/>
  <c r="L795" i="2"/>
  <c r="M795" i="2" s="1"/>
  <c r="L796" i="2"/>
  <c r="M796" i="2" s="1"/>
  <c r="L797" i="2"/>
  <c r="M797" i="2" s="1"/>
  <c r="L798" i="2"/>
  <c r="M798" i="2" s="1"/>
  <c r="L799" i="2"/>
  <c r="M799" i="2" s="1"/>
  <c r="L800" i="2"/>
  <c r="M800" i="2" s="1"/>
  <c r="L801" i="2"/>
  <c r="M801" i="2" s="1"/>
  <c r="L802" i="2"/>
  <c r="M802" i="2" s="1"/>
  <c r="L803" i="2"/>
  <c r="M803" i="2" s="1"/>
  <c r="L804" i="2"/>
  <c r="M804" i="2" s="1"/>
  <c r="L805" i="2"/>
  <c r="M805" i="2" s="1"/>
  <c r="L806" i="2"/>
  <c r="M806" i="2" s="1"/>
  <c r="L807" i="2"/>
  <c r="M807" i="2" s="1"/>
  <c r="L808" i="2"/>
  <c r="M808" i="2" s="1"/>
  <c r="L809" i="2"/>
  <c r="M809" i="2" s="1"/>
  <c r="L810" i="2"/>
  <c r="M810" i="2" s="1"/>
  <c r="L811" i="2"/>
  <c r="M811" i="2" s="1"/>
  <c r="L812" i="2"/>
  <c r="M812" i="2" s="1"/>
  <c r="L813" i="2"/>
  <c r="M813" i="2" s="1"/>
  <c r="L814" i="2"/>
  <c r="M814" i="2" s="1"/>
  <c r="L815" i="2"/>
  <c r="M815" i="2" s="1"/>
  <c r="L816" i="2"/>
  <c r="M816" i="2" s="1"/>
  <c r="L817" i="2"/>
  <c r="M817" i="2" s="1"/>
  <c r="L818" i="2"/>
  <c r="M818" i="2" s="1"/>
  <c r="L819" i="2"/>
  <c r="M819" i="2" s="1"/>
  <c r="L820" i="2"/>
  <c r="M820" i="2" s="1"/>
  <c r="L821" i="2"/>
  <c r="M821" i="2" s="1"/>
  <c r="L822" i="2"/>
  <c r="M822" i="2" s="1"/>
  <c r="L823" i="2"/>
  <c r="M823" i="2" s="1"/>
  <c r="L824" i="2"/>
  <c r="M824" i="2" s="1"/>
  <c r="L825" i="2"/>
  <c r="M825" i="2" s="1"/>
  <c r="L826" i="2"/>
  <c r="M826" i="2" s="1"/>
  <c r="L827" i="2"/>
  <c r="M827" i="2" s="1"/>
  <c r="L828" i="2"/>
  <c r="M828" i="2" s="1"/>
  <c r="L829" i="2"/>
  <c r="M829" i="2" s="1"/>
  <c r="L830" i="2"/>
  <c r="M830" i="2" s="1"/>
  <c r="L831" i="2"/>
  <c r="M831" i="2" s="1"/>
  <c r="L832" i="2"/>
  <c r="M832" i="2" s="1"/>
  <c r="L833" i="2"/>
  <c r="M833" i="2" s="1"/>
  <c r="L834" i="2"/>
  <c r="M834" i="2" s="1"/>
  <c r="L835" i="2"/>
  <c r="M835" i="2" s="1"/>
  <c r="L836" i="2"/>
  <c r="M836" i="2" s="1"/>
  <c r="L837" i="2"/>
  <c r="M837" i="2" s="1"/>
  <c r="L838" i="2"/>
  <c r="M838" i="2" s="1"/>
  <c r="L839" i="2"/>
  <c r="M839" i="2" s="1"/>
  <c r="L840" i="2"/>
  <c r="M840" i="2" s="1"/>
  <c r="L841" i="2"/>
  <c r="M841" i="2" s="1"/>
  <c r="L842" i="2"/>
  <c r="M842" i="2" s="1"/>
  <c r="L843" i="2"/>
  <c r="M843" i="2" s="1"/>
  <c r="L844" i="2"/>
  <c r="M844" i="2" s="1"/>
  <c r="L845" i="2"/>
  <c r="M845" i="2" s="1"/>
  <c r="L846" i="2"/>
  <c r="M846" i="2" s="1"/>
  <c r="L847" i="2"/>
  <c r="M847" i="2" s="1"/>
  <c r="L848" i="2"/>
  <c r="M848" i="2" s="1"/>
  <c r="L849" i="2"/>
  <c r="M849" i="2" s="1"/>
  <c r="L850" i="2"/>
  <c r="M850" i="2" s="1"/>
  <c r="L851" i="2"/>
  <c r="M851" i="2" s="1"/>
  <c r="L852" i="2"/>
  <c r="M852" i="2" s="1"/>
  <c r="L853" i="2"/>
  <c r="M853" i="2" s="1"/>
  <c r="L854" i="2"/>
  <c r="M854" i="2" s="1"/>
  <c r="L855" i="2"/>
  <c r="M855" i="2" s="1"/>
  <c r="L856" i="2"/>
  <c r="M856" i="2" s="1"/>
  <c r="L857" i="2"/>
  <c r="M857" i="2" s="1"/>
  <c r="L858" i="2"/>
  <c r="M858" i="2" s="1"/>
  <c r="L859" i="2"/>
  <c r="M859" i="2" s="1"/>
  <c r="L860" i="2"/>
  <c r="M860" i="2" s="1"/>
  <c r="L861" i="2"/>
  <c r="M861" i="2" s="1"/>
  <c r="L862" i="2"/>
  <c r="M862" i="2" s="1"/>
  <c r="L863" i="2"/>
  <c r="M863" i="2" s="1"/>
  <c r="L864" i="2"/>
  <c r="M864" i="2" s="1"/>
  <c r="L865" i="2"/>
  <c r="M865" i="2" s="1"/>
  <c r="L866" i="2"/>
  <c r="M866" i="2" s="1"/>
  <c r="L867" i="2"/>
  <c r="M867" i="2" s="1"/>
  <c r="L868" i="2"/>
  <c r="M868" i="2" s="1"/>
  <c r="L869" i="2"/>
  <c r="M869" i="2" s="1"/>
  <c r="L870" i="2"/>
  <c r="M870" i="2" s="1"/>
  <c r="L871" i="2"/>
  <c r="M871" i="2" s="1"/>
  <c r="L872" i="2"/>
  <c r="M872" i="2" s="1"/>
  <c r="L873" i="2"/>
  <c r="M873" i="2" s="1"/>
  <c r="L874" i="2"/>
  <c r="M874" i="2" s="1"/>
  <c r="L875" i="2"/>
  <c r="M875" i="2" s="1"/>
  <c r="L876" i="2"/>
  <c r="M876" i="2" s="1"/>
  <c r="L877" i="2"/>
  <c r="M877" i="2" s="1"/>
  <c r="L878" i="2"/>
  <c r="M878" i="2" s="1"/>
  <c r="L879" i="2"/>
  <c r="M879" i="2" s="1"/>
  <c r="L880" i="2"/>
  <c r="M880" i="2" s="1"/>
  <c r="L881" i="2"/>
  <c r="M881" i="2" s="1"/>
  <c r="L882" i="2"/>
  <c r="M882" i="2" s="1"/>
  <c r="L883" i="2"/>
  <c r="M883" i="2" s="1"/>
  <c r="L884" i="2"/>
  <c r="M884" i="2" s="1"/>
  <c r="L885" i="2"/>
  <c r="M885" i="2" s="1"/>
  <c r="L886" i="2"/>
  <c r="M886" i="2" s="1"/>
  <c r="L887" i="2"/>
  <c r="M887" i="2" s="1"/>
  <c r="L888" i="2"/>
  <c r="M888" i="2" s="1"/>
  <c r="L889" i="2"/>
  <c r="M889" i="2" s="1"/>
  <c r="L890" i="2"/>
  <c r="M890" i="2" s="1"/>
  <c r="L891" i="2"/>
  <c r="M891" i="2" s="1"/>
  <c r="L892" i="2"/>
  <c r="M892" i="2" s="1"/>
  <c r="L893" i="2"/>
  <c r="M893" i="2" s="1"/>
  <c r="L894" i="2"/>
  <c r="M894" i="2" s="1"/>
  <c r="L895" i="2"/>
  <c r="M895" i="2" s="1"/>
  <c r="L896" i="2"/>
  <c r="M896" i="2" s="1"/>
  <c r="L897" i="2"/>
  <c r="M897" i="2" s="1"/>
  <c r="L898" i="2"/>
  <c r="M898" i="2" s="1"/>
  <c r="L899" i="2"/>
  <c r="M899" i="2" s="1"/>
  <c r="L900" i="2"/>
  <c r="M900" i="2" s="1"/>
  <c r="L901" i="2"/>
  <c r="M901" i="2" s="1"/>
  <c r="L902" i="2"/>
  <c r="M902" i="2" s="1"/>
  <c r="L903" i="2"/>
  <c r="M903" i="2" s="1"/>
  <c r="L904" i="2"/>
  <c r="M904" i="2" s="1"/>
  <c r="L905" i="2"/>
  <c r="M905" i="2" s="1"/>
  <c r="L906" i="2"/>
  <c r="M906" i="2" s="1"/>
  <c r="L907" i="2"/>
  <c r="M907" i="2" s="1"/>
  <c r="L908" i="2"/>
  <c r="M908" i="2" s="1"/>
  <c r="L909" i="2"/>
  <c r="M909" i="2" s="1"/>
  <c r="L910" i="2"/>
  <c r="M910" i="2" s="1"/>
  <c r="L911" i="2"/>
  <c r="M911" i="2" s="1"/>
  <c r="L912" i="2"/>
  <c r="M912" i="2" s="1"/>
  <c r="L913" i="2"/>
  <c r="M913" i="2" s="1"/>
  <c r="L914" i="2"/>
  <c r="M914" i="2" s="1"/>
  <c r="L915" i="2"/>
  <c r="M915" i="2" s="1"/>
  <c r="L916" i="2"/>
  <c r="M916" i="2" s="1"/>
  <c r="L917" i="2"/>
  <c r="M917" i="2" s="1"/>
  <c r="L918" i="2"/>
  <c r="M918" i="2" s="1"/>
  <c r="L919" i="2"/>
  <c r="M919" i="2" s="1"/>
  <c r="L920" i="2"/>
  <c r="M920" i="2" s="1"/>
  <c r="L921" i="2"/>
  <c r="M921" i="2" s="1"/>
  <c r="L922" i="2"/>
  <c r="M922" i="2" s="1"/>
  <c r="L923" i="2"/>
  <c r="M923" i="2" s="1"/>
  <c r="L924" i="2"/>
  <c r="M924" i="2" s="1"/>
  <c r="L925" i="2"/>
  <c r="M925" i="2" s="1"/>
  <c r="L926" i="2"/>
  <c r="M926" i="2" s="1"/>
  <c r="L927" i="2"/>
  <c r="M927" i="2" s="1"/>
  <c r="L928" i="2"/>
  <c r="M928" i="2" s="1"/>
  <c r="L929" i="2"/>
  <c r="M929" i="2" s="1"/>
  <c r="L930" i="2"/>
  <c r="M930" i="2" s="1"/>
  <c r="L931" i="2"/>
  <c r="M931" i="2" s="1"/>
  <c r="L932" i="2"/>
  <c r="M932" i="2" s="1"/>
  <c r="L933" i="2"/>
  <c r="M933" i="2" s="1"/>
  <c r="L934" i="2"/>
  <c r="M934" i="2" s="1"/>
  <c r="L935" i="2"/>
  <c r="M935" i="2" s="1"/>
  <c r="L936" i="2"/>
  <c r="M936" i="2" s="1"/>
  <c r="L937" i="2"/>
  <c r="M937" i="2" s="1"/>
  <c r="L938" i="2"/>
  <c r="M938" i="2" s="1"/>
  <c r="L939" i="2"/>
  <c r="M939" i="2" s="1"/>
  <c r="L940" i="2"/>
  <c r="M940" i="2" s="1"/>
  <c r="L941" i="2"/>
  <c r="M941" i="2" s="1"/>
  <c r="L942" i="2"/>
  <c r="M942" i="2" s="1"/>
  <c r="L943" i="2"/>
  <c r="M943" i="2" s="1"/>
  <c r="L944" i="2"/>
  <c r="M944" i="2" s="1"/>
  <c r="L945" i="2"/>
  <c r="M945" i="2" s="1"/>
  <c r="L946" i="2"/>
  <c r="M946" i="2" s="1"/>
  <c r="L947" i="2"/>
  <c r="M947" i="2" s="1"/>
  <c r="L948" i="2"/>
  <c r="M948" i="2" s="1"/>
  <c r="L949" i="2"/>
  <c r="M949" i="2" s="1"/>
  <c r="L950" i="2"/>
  <c r="M950" i="2" s="1"/>
  <c r="L951" i="2"/>
  <c r="M951" i="2" s="1"/>
  <c r="L952" i="2"/>
  <c r="M952" i="2" s="1"/>
  <c r="L953" i="2"/>
  <c r="M953" i="2" s="1"/>
  <c r="L954" i="2"/>
  <c r="M954" i="2" s="1"/>
  <c r="L955" i="2"/>
  <c r="M955" i="2" s="1"/>
  <c r="L956" i="2"/>
  <c r="M956" i="2" s="1"/>
  <c r="L957" i="2"/>
  <c r="M957" i="2" s="1"/>
  <c r="L958" i="2"/>
  <c r="M958" i="2" s="1"/>
  <c r="L959" i="2"/>
  <c r="M959" i="2" s="1"/>
  <c r="L960" i="2"/>
  <c r="M960" i="2" s="1"/>
  <c r="L961" i="2"/>
  <c r="M961" i="2" s="1"/>
  <c r="L962" i="2"/>
  <c r="M962" i="2" s="1"/>
  <c r="L963" i="2"/>
  <c r="M963" i="2" s="1"/>
  <c r="L964" i="2"/>
  <c r="M964" i="2" s="1"/>
  <c r="L965" i="2"/>
  <c r="M965" i="2" s="1"/>
  <c r="L966" i="2"/>
  <c r="M966" i="2" s="1"/>
  <c r="L967" i="2"/>
  <c r="M967" i="2" s="1"/>
  <c r="L968" i="2"/>
  <c r="M968" i="2" s="1"/>
  <c r="L969" i="2"/>
  <c r="M969" i="2" s="1"/>
  <c r="L970" i="2"/>
  <c r="M970" i="2" s="1"/>
  <c r="L971" i="2"/>
  <c r="M971" i="2" s="1"/>
  <c r="L972" i="2"/>
  <c r="M972" i="2" s="1"/>
  <c r="L973" i="2"/>
  <c r="M973" i="2" s="1"/>
  <c r="L974" i="2"/>
  <c r="M974" i="2" s="1"/>
  <c r="L975" i="2"/>
  <c r="M975" i="2" s="1"/>
  <c r="L976" i="2"/>
  <c r="M976" i="2" s="1"/>
  <c r="L977" i="2"/>
  <c r="M977" i="2" s="1"/>
  <c r="L978" i="2"/>
  <c r="M978" i="2" s="1"/>
  <c r="L979" i="2"/>
  <c r="M979" i="2" s="1"/>
  <c r="L980" i="2"/>
  <c r="M980" i="2" s="1"/>
  <c r="L981" i="2"/>
  <c r="M981" i="2" s="1"/>
  <c r="L982" i="2"/>
  <c r="M982" i="2" s="1"/>
  <c r="L983" i="2"/>
  <c r="M983" i="2" s="1"/>
  <c r="L984" i="2"/>
  <c r="M984" i="2" s="1"/>
  <c r="L985" i="2"/>
  <c r="M985" i="2" s="1"/>
  <c r="L986" i="2"/>
  <c r="M986" i="2" s="1"/>
  <c r="L987" i="2"/>
  <c r="M987" i="2" s="1"/>
  <c r="L988" i="2"/>
  <c r="M988" i="2" s="1"/>
  <c r="L989" i="2"/>
  <c r="M989" i="2" s="1"/>
  <c r="L990" i="2"/>
  <c r="M990" i="2" s="1"/>
  <c r="L991" i="2"/>
  <c r="M991" i="2" s="1"/>
  <c r="L992" i="2"/>
  <c r="M992" i="2" s="1"/>
  <c r="L993" i="2"/>
  <c r="M993" i="2" s="1"/>
  <c r="L994" i="2"/>
  <c r="M994" i="2" s="1"/>
  <c r="L995" i="2"/>
  <c r="M995" i="2" s="1"/>
  <c r="L996" i="2"/>
  <c r="M996" i="2" s="1"/>
  <c r="L997" i="2"/>
  <c r="M997" i="2" s="1"/>
  <c r="L998" i="2"/>
  <c r="M998" i="2" s="1"/>
  <c r="L999" i="2"/>
  <c r="M999" i="2" s="1"/>
  <c r="L1000" i="2"/>
  <c r="M1000" i="2" s="1"/>
  <c r="L1001" i="2"/>
  <c r="M1001" i="2" s="1"/>
  <c r="L1002" i="2"/>
  <c r="M1002" i="2" s="1"/>
  <c r="L1003" i="2"/>
  <c r="M100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c r="K598" i="2" a="1"/>
  <c r="K598" i="2" s="1"/>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<sst xmlns="http://schemas.openxmlformats.org/spreadsheetml/2006/main" count="3167" uniqueCount="1082">
  <si>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</si>
  <si>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</si>
  <si>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</si>
  <si>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</si>
  <si>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</si>
  <si>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</si>
  <si>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</si>
  <si>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</si>
  <si>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</si>
  <si>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</si>
  <si>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</si>
  <si>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</si>
  <si>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</si>
  <si>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</si>
  <si>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</si>
  <si>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</si>
  <si>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</si>
  <si>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</si>
  <si>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</si>
  <si>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</si>
  <si>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</si>
  <si>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</si>
  <si>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</si>
  <si>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</si>
  <si>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</si>
  <si>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</si>
  <si>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</si>
  <si>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</si>
  <si>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</si>
  <si>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</si>
  <si>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</si>
  <si>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</si>
  <si>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</si>
  <si>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</si>
  <si>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</si>
  <si>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</si>
  <si>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</si>
  <si>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</si>
  <si>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</si>
  <si>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</si>
  <si>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</si>
  <si>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</si>
  <si>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</si>
  <si>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</si>
  <si>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</si>
  <si>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</si>
  <si>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</si>
  <si>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</si>
  <si>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</si>
  <si>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</si>
  <si>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</si>
  <si>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</si>
  <si>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</si>
  <si>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</si>
  <si>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</si>
  <si>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</si>
  <si>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</si>
  <si>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</si>
  <si>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</si>
  <si>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</si>
  <si>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</si>
  <si>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</si>
  <si>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</si>
  <si>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</si>
  <si>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</si>
  <si>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</si>
  <si>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</si>
  <si>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</si>
  <si>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</si>
  <si>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</si>
  <si>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</si>
  <si>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</si>
  <si>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</si>
  <si>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</si>
  <si>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</si>
  <si>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</si>
  <si>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</si>
  <si>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</si>
  <si>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</si>
  <si>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</si>
  <si>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</si>
  <si>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</si>
  <si>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</si>
  <si>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</si>
  <si>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</si>
  <si>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</si>
  <si>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</si>
  <si>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</si>
  <si>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</si>
  <si>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</si>
  <si>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</si>
  <si>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</si>
  <si>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</si>
  <si>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</si>
  <si>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</si>
  <si>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</si>
  <si>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</si>
  <si>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</si>
  <si>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</si>
  <si>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</si>
  <si>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</si>
  <si>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</si>
  <si>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</si>
  <si>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</si>
  <si>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</si>
  <si>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</si>
  <si>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</si>
  <si>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</si>
  <si>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</si>
  <si>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</si>
  <si>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</si>
  <si>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</si>
  <si>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</si>
  <si>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</si>
  <si>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</si>
  <si>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</si>
  <si>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</si>
  <si>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</si>
  <si>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</si>
  <si>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</si>
  <si>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</si>
  <si>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</si>
  <si>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</si>
  <si>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</si>
  <si>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</si>
  <si>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</si>
  <si>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</si>
  <si>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</si>
  <si>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</si>
  <si>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</si>
  <si>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</si>
  <si>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</si>
  <si>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</si>
  <si>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</si>
  <si>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</si>
  <si>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</si>
  <si>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</si>
  <si>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</si>
  <si>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</si>
  <si>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</si>
  <si>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</si>
  <si>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</si>
  <si>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</si>
  <si>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</si>
  <si>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</si>
  <si>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</si>
  <si>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</si>
  <si>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</si>
  <si>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</si>
  <si>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</si>
  <si>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</si>
  <si>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</si>
  <si>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</si>
  <si>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</si>
  <si>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</si>
  <si>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</si>
  <si>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</si>
  <si>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</si>
  <si>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</si>
  <si>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</si>
  <si>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</si>
  <si>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</si>
  <si>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</si>
  <si>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</si>
  <si>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</si>
  <si>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</si>
  <si>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</si>
  <si>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</si>
  <si>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</si>
  <si>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</si>
  <si>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</si>
  <si>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</si>
  <si>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</si>
  <si>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</si>
  <si>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</si>
  <si>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</si>
  <si>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</si>
  <si>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</si>
  <si>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</si>
  <si>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</si>
  <si>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</si>
  <si>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</si>
  <si>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</si>
  <si>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</si>
  <si>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</si>
  <si>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</si>
  <si>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</si>
  <si>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</si>
  <si>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</si>
  <si>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</si>
  <si>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</si>
  <si>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</si>
  <si>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</si>
  <si>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</si>
  <si>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</si>
  <si>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</si>
  <si>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</si>
  <si>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</si>
  <si>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</si>
  <si>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</si>
  <si>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</si>
  <si>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</si>
  <si>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</si>
  <si>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</si>
  <si>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</si>
  <si>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</si>
  <si>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</si>
  <si>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</si>
  <si>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</si>
  <si>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</si>
  <si>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</si>
  <si>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</si>
  <si>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</si>
  <si>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</si>
  <si>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</si>
  <si>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</si>
  <si>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</si>
  <si>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</si>
  <si>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</si>
  <si>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</si>
  <si>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</si>
  <si>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</si>
  <si>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</si>
  <si>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</si>
  <si>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</si>
  <si>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</si>
  <si>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</si>
  <si>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</si>
  <si>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</si>
  <si>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</si>
  <si>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</si>
  <si>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</si>
  <si>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</si>
  <si>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</si>
  <si>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</si>
  <si>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</si>
  <si>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</si>
  <si>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</si>
  <si>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</si>
  <si>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</si>
  <si>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</si>
  <si>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</si>
  <si>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</si>
  <si>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</si>
  <si>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</si>
  <si>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</si>
  <si>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</si>
  <si>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</si>
  <si>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</si>
  <si>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</si>
  <si>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</si>
  <si>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</si>
  <si>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</si>
  <si>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</si>
  <si>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</si>
  <si>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</si>
  <si>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</si>
  <si>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</si>
  <si>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</si>
  <si>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</si>
  <si>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</si>
  <si>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</si>
  <si>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</si>
  <si>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</si>
  <si>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</si>
  <si>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</si>
  <si>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</si>
  <si>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</si>
  <si>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</si>
  <si>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</si>
  <si>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</si>
  <si>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</si>
  <si>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</si>
  <si>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</si>
  <si>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</si>
  <si>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</si>
  <si>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</si>
  <si>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</si>
  <si>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</si>
  <si>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</si>
  <si>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</si>
  <si>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</si>
  <si>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</si>
  <si>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</si>
  <si>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</si>
  <si>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</si>
  <si>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</si>
  <si>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</si>
  <si>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</si>
  <si>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</si>
  <si>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</si>
  <si>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</si>
  <si>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</si>
  <si>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</si>
  <si>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</si>
  <si>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</si>
  <si>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</si>
  <si>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</si>
  <si>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</si>
  <si>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</si>
  <si>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</si>
  <si>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</si>
  <si>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</si>
  <si>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</si>
  <si>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</si>
  <si>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</si>
  <si>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</si>
  <si>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</si>
  <si>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</si>
  <si>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</si>
  <si>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</si>
  <si>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</si>
  <si>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</si>
  <si>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</si>
  <si>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</si>
  <si>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</si>
  <si>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</si>
  <si>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</si>
  <si>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</si>
  <si>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</si>
  <si>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</si>
  <si>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</si>
  <si>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</si>
  <si>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</si>
  <si>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</si>
  <si>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</si>
  <si>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</si>
  <si>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</si>
  <si>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</si>
  <si>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</si>
  <si>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</si>
  <si>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</si>
  <si>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</si>
  <si>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</si>
  <si>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</si>
  <si>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</si>
  <si>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</si>
  <si>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</si>
  <si>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</si>
  <si>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</si>
  <si>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</si>
  <si>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</si>
  <si>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</si>
  <si>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</si>
  <si>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</si>
  <si>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</si>
  <si>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</si>
  <si>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</si>
  <si>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</si>
  <si>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</si>
  <si>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</si>
  <si>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</si>
  <si>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</si>
  <si>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</si>
  <si>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</si>
  <si>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</si>
  <si>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</si>
  <si>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</si>
  <si>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</si>
  <si>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</si>
  <si>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</si>
  <si>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</si>
  <si>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</si>
  <si>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</si>
  <si>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</si>
  <si>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</si>
  <si>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</si>
  <si>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</si>
  <si>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</si>
  <si>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</si>
  <si>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</si>
  <si>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</si>
  <si>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</si>
  <si>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</si>
  <si>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</si>
  <si>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</si>
  <si>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</si>
  <si>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</si>
  <si>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</si>
  <si>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</si>
  <si>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</si>
  <si>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</si>
  <si>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</si>
  <si>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</si>
  <si>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</si>
  <si>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</si>
  <si>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</si>
  <si>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</si>
  <si>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</si>
  <si>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</si>
  <si>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</si>
  <si>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</si>
  <si>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</si>
  <si>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</si>
  <si>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</si>
  <si>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</si>
  <si>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</si>
  <si>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</si>
  <si>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</si>
  <si>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</si>
  <si>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</si>
  <si>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</si>
  <si>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</si>
  <si>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</si>
  <si>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</si>
  <si>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</si>
  <si>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</si>
  <si>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</si>
  <si>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</si>
  <si>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</si>
  <si>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</si>
  <si>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</si>
  <si>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</si>
  <si>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</si>
  <si>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</si>
  <si>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</si>
  <si>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</si>
  <si>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</si>
  <si>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</si>
  <si>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</si>
  <si>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</si>
  <si>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</si>
  <si>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</si>
  <si>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</si>
  <si>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</si>
  <si>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</si>
  <si>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</si>
  <si>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</si>
  <si>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</si>
  <si>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</si>
  <si>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</si>
  <si>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</si>
  <si>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</si>
  <si>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</si>
  <si>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</si>
  <si>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</si>
  <si>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</si>
  <si>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</si>
  <si>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</si>
  <si>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</si>
  <si>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</si>
  <si>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</si>
  <si>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</si>
  <si>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</si>
  <si>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</si>
  <si>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</si>
  <si>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</si>
  <si>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</si>
  <si>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</si>
  <si>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</si>
  <si>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</si>
  <si>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</si>
  <si>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</si>
  <si>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</si>
  <si>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</si>
  <si>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</si>
  <si>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</si>
  <si>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</si>
  <si>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</si>
  <si>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</si>
  <si>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</si>
  <si>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</si>
  <si>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</si>
  <si>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</si>
  <si>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</si>
  <si>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</si>
  <si>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</si>
  <si>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</si>
  <si>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</si>
  <si>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</si>
  <si>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</si>
  <si>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</si>
  <si>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</si>
  <si>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</si>
  <si>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</si>
  <si>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</si>
  <si>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</si>
  <si>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</si>
  <si>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</si>
  <si>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</si>
  <si>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</si>
  <si>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</si>
  <si>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</si>
  <si>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</si>
  <si>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</si>
  <si>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</si>
  <si>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</si>
  <si>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</si>
  <si>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</si>
  <si>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</si>
  <si>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</si>
  <si>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</si>
  <si>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</si>
  <si>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</si>
  <si>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</si>
  <si>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</si>
  <si>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</si>
  <si>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</si>
  <si>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</si>
  <si>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</si>
  <si>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</si>
  <si>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</si>
  <si>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</si>
  <si>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</si>
  <si>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</si>
  <si>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</si>
  <si>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</si>
  <si>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</si>
  <si>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</si>
  <si>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</si>
  <si>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</si>
  <si>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</si>
  <si>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</si>
  <si>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</si>
  <si>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</si>
  <si>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</si>
  <si>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</si>
  <si>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</si>
  <si>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</si>
  <si>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</si>
  <si>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</si>
  <si>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</si>
  <si>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</si>
  <si>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</si>
  <si>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</si>
  <si>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</si>
  <si>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</si>
  <si>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</si>
  <si>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</si>
  <si>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</si>
  <si>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</si>
  <si>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</si>
  <si>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</si>
  <si>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</si>
  <si>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</si>
  <si>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</si>
  <si>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</si>
  <si>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</si>
  <si>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</si>
  <si>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</si>
  <si>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</si>
  <si>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</si>
  <si>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</si>
  <si>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</si>
  <si>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</si>
  <si>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</si>
  <si>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</si>
  <si>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</si>
  <si>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</si>
  <si>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</si>
  <si>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</si>
  <si>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</si>
  <si>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</si>
  <si>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</si>
  <si>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</si>
  <si>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</si>
  <si>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</si>
  <si>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</si>
  <si>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</si>
  <si>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</si>
  <si>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</si>
  <si>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</si>
  <si>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</si>
  <si>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</si>
  <si>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</si>
  <si>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</si>
  <si>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</si>
  <si>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</si>
  <si>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</si>
  <si>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</si>
  <si>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</si>
  <si>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</si>
  <si>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</si>
  <si>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</si>
  <si>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</si>
  <si>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</si>
  <si>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</si>
  <si>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</si>
  <si>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</si>
  <si>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</si>
  <si>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</si>
  <si>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</si>
  <si>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</si>
  <si>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</si>
  <si>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</si>
  <si>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</si>
  <si>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</si>
  <si>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</si>
  <si>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</si>
  <si>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</si>
  <si>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</si>
  <si>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</si>
  <si>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</si>
  <si>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</si>
  <si>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</si>
  <si>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</si>
  <si>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</si>
  <si>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</si>
  <si>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</si>
  <si>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</si>
  <si>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</si>
  <si>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</si>
  <si>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</si>
  <si>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</si>
  <si>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</si>
  <si>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</si>
  <si>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</si>
  <si>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</si>
  <si>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</si>
  <si>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</si>
  <si>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</si>
  <si>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</si>
  <si>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</si>
  <si>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</si>
  <si>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</si>
  <si>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</si>
  <si>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</si>
  <si>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</si>
  <si>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</si>
  <si>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</si>
  <si>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</si>
  <si>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</si>
  <si>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</si>
  <si>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</si>
  <si>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</si>
  <si>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</si>
  <si>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</si>
  <si>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</si>
  <si>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</si>
  <si>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</si>
  <si>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</si>
  <si>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</si>
  <si>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</si>
  <si>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</si>
  <si>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</si>
  <si>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</si>
  <si>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</si>
  <si>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</si>
  <si>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</si>
  <si>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</si>
  <si>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</si>
  <si>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</si>
  <si>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</si>
  <si>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</si>
  <si>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</si>
  <si>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</si>
  <si>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</si>
  <si>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</si>
  <si>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</si>
  <si>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</si>
  <si>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</si>
  <si>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</si>
  <si>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</si>
  <si>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</si>
  <si>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</si>
  <si>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</si>
  <si>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</si>
  <si>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</si>
  <si>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</si>
  <si>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</si>
  <si>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</si>
  <si>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</si>
  <si>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</si>
  <si>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</si>
  <si>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</si>
  <si>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</si>
  <si>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</si>
  <si>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</si>
  <si>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</si>
  <si>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</si>
  <si>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</si>
  <si>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</si>
  <si>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</si>
  <si>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</si>
  <si>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</si>
  <si>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</si>
  <si>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</si>
  <si>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</si>
  <si>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</si>
  <si>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</si>
  <si>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</si>
  <si>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</si>
  <si>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</si>
  <si>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</si>
  <si>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</si>
  <si>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</si>
  <si>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</si>
  <si>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</si>
  <si>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</si>
  <si>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</si>
  <si>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</si>
  <si>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</si>
  <si>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</si>
  <si>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</si>
  <si>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</si>
  <si>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</si>
  <si>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</si>
  <si>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</si>
  <si>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</si>
  <si>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</si>
  <si>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</si>
  <si>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</si>
  <si>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</si>
  <si>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</si>
  <si>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</si>
  <si>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</si>
  <si>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</si>
  <si>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</si>
  <si>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</si>
  <si>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</si>
  <si>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</si>
  <si>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</si>
  <si>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</si>
  <si>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</si>
  <si>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</si>
  <si>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</si>
  <si>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</si>
  <si>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</si>
  <si>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</si>
  <si>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</si>
  <si>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</si>
  <si>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</si>
  <si>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</si>
  <si>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</si>
  <si>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</si>
  <si>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</si>
  <si>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</si>
  <si>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</si>
  <si>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</si>
  <si>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</si>
  <si>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</si>
  <si>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</si>
  <si>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</si>
  <si>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</si>
  <si>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</si>
  <si>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</si>
  <si>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</si>
  <si>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</si>
  <si>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</si>
  <si>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</si>
  <si>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</si>
  <si>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</si>
  <si>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</si>
  <si>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</si>
  <si>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</si>
  <si>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</si>
  <si>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</si>
  <si>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</si>
  <si>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</si>
  <si>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</si>
  <si>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</si>
  <si>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</si>
  <si>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</si>
  <si>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</si>
  <si>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</si>
  <si>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</si>
  <si>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</si>
  <si>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</si>
  <si>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</si>
  <si>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</si>
  <si>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</si>
  <si>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</si>
  <si>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</si>
  <si>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</si>
  <si>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</si>
  <si>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</si>
  <si>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</si>
  <si>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</si>
  <si>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</si>
  <si>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</si>
  <si>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</si>
  <si>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</si>
  <si>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</si>
  <si>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</si>
  <si>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</si>
  <si>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</si>
  <si>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</si>
  <si>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</si>
  <si>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</si>
  <si>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</si>
  <si>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</si>
  <si>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</si>
  <si>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</si>
  <si>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</si>
  <si>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</si>
  <si>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</si>
  <si>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</si>
  <si>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</si>
  <si>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</si>
  <si>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</si>
  <si>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</si>
  <si>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</si>
  <si>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</si>
  <si>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</si>
  <si>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</si>
  <si>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</si>
  <si>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</si>
  <si>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</si>
  <si>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</si>
  <si>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</si>
  <si>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</si>
  <si>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</si>
  <si>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</si>
  <si>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</si>
  <si>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</si>
  <si>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</si>
  <si>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</si>
  <si>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</si>
  <si>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</si>
  <si>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</si>
  <si>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</si>
  <si>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</si>
  <si>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</si>
  <si>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</si>
  <si>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</si>
  <si>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</si>
  <si>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</si>
  <si>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</si>
  <si>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</si>
  <si>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</si>
  <si>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</si>
  <si>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</si>
  <si>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</si>
  <si>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</si>
  <si>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</si>
  <si>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</si>
  <si>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</si>
  <si>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</si>
  <si>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</si>
  <si>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</si>
  <si>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</si>
  <si>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</si>
  <si>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</si>
  <si>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</si>
  <si>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</si>
  <si>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</si>
  <si>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</si>
  <si>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</si>
  <si>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</si>
  <si>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</si>
  <si>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</si>
  <si>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</si>
  <si>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</si>
  <si>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</si>
  <si>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</si>
  <si>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</si>
  <si>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</si>
  <si>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</si>
  <si>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</si>
  <si>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</si>
  <si>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</si>
  <si>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</si>
  <si>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</si>
  <si>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</si>
  <si>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</si>
  <si>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</si>
  <si>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</si>
  <si>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</si>
  <si>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</si>
  <si>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</si>
  <si>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</si>
  <si>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</si>
  <si>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</si>
  <si>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</si>
  <si>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</si>
  <si>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</si>
  <si>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</si>
  <si>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</si>
  <si>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</si>
  <si>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</si>
  <si>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</si>
  <si>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</si>
  <si>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</si>
  <si>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</si>
  <si>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</si>
  <si>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</si>
  <si>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</si>
  <si>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</si>
  <si>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</si>
  <si>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</si>
  <si>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</si>
  <si>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</si>
  <si>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</si>
  <si>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</si>
  <si>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</si>
  <si>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</si>
  <si>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</si>
  <si>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</si>
  <si>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</si>
  <si>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</si>
  <si>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</si>
  <si>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</si>
  <si>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</si>
  <si>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</si>
  <si>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</si>
  <si>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</si>
  <si>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</si>
  <si>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</si>
  <si>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</si>
  <si>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</si>
  <si>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</si>
  <si>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</si>
  <si>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</si>
  <si>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</si>
  <si>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</si>
  <si>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</si>
  <si>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</si>
  <si>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</si>
  <si>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</si>
  <si>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</si>
  <si>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</si>
  <si>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</si>
  <si>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</si>
  <si>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</si>
  <si>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</si>
  <si>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</si>
  <si>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</si>
  <si>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</si>
  <si>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</si>
  <si>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</si>
  <si>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</si>
  <si>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</si>
  <si>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</si>
  <si>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</si>
  <si>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</si>
  <si>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</si>
  <si>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</si>
  <si>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</si>
  <si>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</si>
  <si>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</si>
  <si>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</si>
  <si>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</si>
  <si>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</si>
  <si>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</si>
  <si>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</si>
  <si>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</si>
  <si>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</si>
  <si>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</si>
  <si>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</si>
  <si>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</si>
  <si>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</si>
  <si>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</si>
  <si>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</si>
  <si>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</si>
  <si>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</si>
  <si>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</si>
  <si>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</si>
  <si>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</si>
  <si>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</si>
  <si>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</si>
  <si>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</si>
  <si>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</si>
  <si>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</si>
  <si>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</si>
  <si>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</si>
  <si>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</si>
  <si>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</si>
  <si>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</si>
  <si>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</si>
  <si>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</si>
  <si>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</si>
  <si>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</si>
  <si>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</si>
  <si>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</si>
  <si>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</si>
  <si>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</si>
  <si>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</si>
  <si>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</si>
  <si>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</si>
  <si>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</si>
  <si>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</si>
  <si>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</si>
  <si>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</si>
  <si>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</si>
  <si>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</si>
  <si>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</si>
  <si>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</si>
  <si>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</si>
  <si>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</si>
  <si>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</si>
  <si>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</si>
  <si>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</si>
  <si>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</si>
  <si>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</si>
  <si>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</si>
  <si>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</si>
  <si>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</si>
  <si>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</si>
  <si>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</si>
  <si>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</si>
  <si>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</si>
  <si>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</si>
  <si>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</si>
  <si>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</si>
  <si>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</si>
  <si>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</si>
  <si>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</si>
  <si>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</si>
  <si>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</si>
  <si>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</si>
  <si>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</si>
  <si>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</si>
  <si>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</si>
  <si>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</si>
  <si>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</si>
  <si>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</si>
  <si>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</si>
  <si>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</si>
  <si>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</si>
  <si>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</si>
  <si>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</si>
  <si>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</si>
  <si>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</si>
  <si>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</si>
  <si>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</si>
  <si>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</si>
  <si>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</si>
  <si>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</si>
  <si>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</si>
  <si>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</si>
  <si>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</si>
  <si>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</si>
  <si>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</si>
  <si>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</si>
  <si>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</si>
  <si>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</si>
  <si>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</si>
  <si>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</si>
  <si>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</si>
  <si>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</si>
  <si>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</si>
  <si>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</si>
  <si>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</si>
  <si>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</si>
  <si>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</si>
  <si>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</si>
  <si>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</si>
  <si>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</si>
  <si>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</si>
  <si>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</si>
  <si>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</si>
  <si>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</si>
  <si>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</si>
  <si>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</si>
  <si>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Sum of Purchase Amount</t>
  </si>
  <si>
    <t>Calls</t>
  </si>
  <si>
    <t>Amount</t>
  </si>
  <si>
    <t>Jan</t>
  </si>
  <si>
    <t>Feb</t>
  </si>
  <si>
    <t>Mar</t>
  </si>
  <si>
    <t>Apr</t>
  </si>
  <si>
    <t>May</t>
  </si>
  <si>
    <t>Jun</t>
  </si>
  <si>
    <t>Jul</t>
  </si>
  <si>
    <t>Aug</t>
  </si>
  <si>
    <t>Sep</t>
  </si>
  <si>
    <t>Oct</t>
  </si>
  <si>
    <t>Nov</t>
  </si>
  <si>
    <t>Dec</t>
  </si>
  <si>
    <t>Count of Call number</t>
  </si>
  <si>
    <t>Call Trend</t>
  </si>
  <si>
    <t>Call trend(weekday)</t>
  </si>
  <si>
    <t>Monday</t>
  </si>
  <si>
    <t>Tuesday</t>
  </si>
  <si>
    <t>Wednesday</t>
  </si>
  <si>
    <t>Thursday</t>
  </si>
  <si>
    <t>Friday</t>
  </si>
  <si>
    <t>Saturday</t>
  </si>
  <si>
    <t>Sunday</t>
  </si>
  <si>
    <t>Sum of Rating rounded</t>
  </si>
  <si>
    <t>Column Labels</t>
  </si>
  <si>
    <t>happy_calls</t>
  </si>
  <si>
    <t>Gender</t>
  </si>
  <si>
    <t>Cincinnati Total</t>
  </si>
  <si>
    <t>Cleveland Total</t>
  </si>
  <si>
    <t>Columbus Total</t>
  </si>
  <si>
    <t>CALL CENTRE REPORT - 2023</t>
  </si>
  <si>
    <t>Call time</t>
  </si>
  <si>
    <t>Average Rating</t>
  </si>
  <si>
    <t>Happy Calls</t>
  </si>
  <si>
    <t>Total</t>
  </si>
  <si>
    <t>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</si>
</sst>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6" formatCode="0.0"/>
    <numFmt numFmtId="168" formatCode="_(* #,##0_);_(* \(#,##0\);_(* &quot;-&quot;??_);_(@_)"/>
    <numFmt numFmtId="170" formatCode="_(&quot;₦&quot;* #,##0_);_(&quot;₦&quot;* \(#,##0\);_(&quot;₦&quot;* &quot;-&quot;??_);_(@_)"/>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20"/>
      <color theme="3" tint="0.59999389629810485"/>
      <name val="Aptos"/>
      <family val="2"/>
      <scheme val="minor"/>
    </font>
    <font>
      <b/>
      <sz val="11"/>
      <color theme="1"/>
      <name val="Aptos"/>
      <scheme val="minor"/>
    </font>
    <font>
      <sz val="11"/>
      <color theme="2"/>
      <name val="Aptos"/>
      <family val="2"/>
      <scheme val="minor"/>
    </font>
  </fonts>
  <fills count="7">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xf>
    <xf numFmtId="0" fontId="0" fillId="4" borderId="0" xfId="0" applyFill="1"/>
    <xf numFmtId="0" fontId="4" fillId="4" borderId="0" xfId="0" applyFont="1" applyFill="1" applyAlignment="1">
      <alignment horizontal="left" vertical="center"/>
    </xf>
    <xf numFmtId="10" fontId="0" fillId="0" borderId="0" xfId="0" applyNumberFormat="1"/>
    <xf numFmtId="166" fontId="0" fillId="0" borderId="0" xfId="0" applyNumberFormat="1"/>
    <xf numFmtId="168" fontId="0" fillId="0" borderId="0" xfId="0" applyNumberFormat="1"/>
    <xf numFmtId="170" fontId="0" fillId="0" borderId="0" xfId="0" applyNumberFormat="1"/>
    <xf numFmtId="0" fontId="5" fillId="0" borderId="0" xfId="0" applyFont="1"/>
    <xf numFmtId="0" fontId="5" fillId="4" borderId="0" xfId="0" applyFont="1" applyFill="1"/>
    <xf numFmtId="0" fontId="6" fillId="4" borderId="0" xfId="0" applyFont="1" applyFill="1"/>
    <xf numFmtId="0" fontId="6" fillId="5" borderId="1" xfId="0" applyFont="1" applyFill="1" applyBorder="1"/>
    <xf numFmtId="0" fontId="6" fillId="6" borderId="1" xfId="0" applyFont="1" applyFill="1" applyBorder="1"/>
    <xf numFmtId="0" fontId="6" fillId="6" borderId="8" xfId="0" applyFont="1" applyFill="1" applyBorder="1"/>
    <xf numFmtId="0" fontId="6" fillId="6" borderId="5" xfId="0" applyFont="1" applyFill="1" applyBorder="1"/>
    <xf numFmtId="0" fontId="6" fillId="0" borderId="0" xfId="0" applyFont="1" applyFill="1" applyBorder="1"/>
    <xf numFmtId="0" fontId="6" fillId="5" borderId="8" xfId="0" applyFont="1" applyFill="1" applyBorder="1"/>
    <xf numFmtId="0" fontId="6" fillId="5" borderId="5" xfId="0" applyFont="1" applyFill="1" applyBorder="1"/>
    <xf numFmtId="0" fontId="5" fillId="0" borderId="1" xfId="0" applyFont="1" applyBorder="1" applyAlignment="1">
      <alignment horizontal="center" vertical="center"/>
    </xf>
  </cellXfs>
  <cellStyles count="1">
    <cellStyle name="Normal" xfId="0" builtinId="0"/>
  </cellStyles>
  <dxfs count="22">
    <dxf>
      <numFmt numFmtId="170" formatCode="_(&quot;₦&quot;* #,##0_);_(&quot;₦&quot;* \(#,##0\);_(&quot;₦&quot;* &quot;-&quot;??_);_(@_)"/>
    </dxf>
    <dxf>
      <numFmt numFmtId="168" formatCode="_(* #,##0_);_(* \(#,##0\);_(* &quot;-&quot;??_);_(@_)"/>
    </dxf>
    <dxf>
      <numFmt numFmtId="166" formatCode="0.0"/>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22/10/relationships/richValueRel" Target="richData/richValueRel.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Report.xlsx]Analysis!PivotTable10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2"/>
                </a:solidFill>
              </a:rPr>
              <a:t>Female</a:t>
            </a:r>
            <a:r>
              <a:rPr lang="en-GB"/>
              <a:t> vs</a:t>
            </a:r>
            <a:r>
              <a:rPr lang="en-GB" baseline="0"/>
              <a:t> </a:t>
            </a:r>
            <a:r>
              <a:rPr lang="en-GB" baseline="0">
                <a:solidFill>
                  <a:srgbClr val="00B050"/>
                </a:solidFill>
              </a:rPr>
              <a:t>Male</a:t>
            </a:r>
            <a:r>
              <a:rPr lang="en-GB" baseline="0"/>
              <a:t> Callers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20000"/>
                      <a:lumOff val="80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20000"/>
                      <a:lumOff val="80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Analysis!$B$68:$B$69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20000"/>
                        <a:lumOff val="80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Analysis!$A$70:$A$72</c:f>
              <c:strCache>
                <c:ptCount val="3"/>
                <c:pt idx="0">
                  <c:v>Cincinnati</c:v>
                </c:pt>
                <c:pt idx="1">
                  <c:v>Cleveland</c:v>
                </c:pt>
                <c:pt idx="2">
                  <c:v>Columbus</c:v>
                </c:pt>
              </c:strCache>
            </c:strRef>
          </c:cat>
          <c:val>
            <c:numRef>
              <c:f>Analysis!$B$70:$B$72</c:f>
              <c:numCache>
                <c:formatCode>0.00%</c:formatCode>
                <c:ptCount val="3"/>
                <c:pt idx="0">
                  <c:v>0.52473498233215543</c:v>
                </c:pt>
                <c:pt idx="1">
                  <c:v>0.82890473104342188</c:v>
                </c:pt>
                <c:pt idx="2">
                  <c:v>0.37160589604344452</c:v>
                </c:pt>
              </c:numCache>
            </c:numRef>
          </c:val>
          <c:extLst>
            <c:ext xmlns:c16="http://schemas.microsoft.com/office/drawing/2014/chart" uri="{C3380CC4-5D6E-409C-BE32-E72D297353CC}">
              <c16:uniqueId val="{00000000-201A-A349-A40E-210E8EB9478E}"/>
            </c:ext>
          </c:extLst>
        </c:ser>
        <c:ser>
          <c:idx val="1"/>
          <c:order val="1"/>
          <c:tx>
            <c:strRef>
              <c:f>Analysis!$C$68:$C$69</c:f>
              <c:strCache>
                <c:ptCount val="1"/>
                <c:pt idx="0">
                  <c:v>Male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20000"/>
                        <a:lumOff val="80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Analysis!$A$70:$A$72</c:f>
              <c:strCache>
                <c:ptCount val="3"/>
                <c:pt idx="0">
                  <c:v>Cincinnati</c:v>
                </c:pt>
                <c:pt idx="1">
                  <c:v>Cleveland</c:v>
                </c:pt>
                <c:pt idx="2">
                  <c:v>Columbus</c:v>
                </c:pt>
              </c:strCache>
            </c:strRef>
          </c:cat>
          <c:val>
            <c:numRef>
              <c:f>Analysis!$C$70:$C$72</c:f>
              <c:numCache>
                <c:formatCode>0.00%</c:formatCode>
                <c:ptCount val="3"/>
                <c:pt idx="0">
                  <c:v>0.47526501766784451</c:v>
                </c:pt>
                <c:pt idx="1">
                  <c:v>0.17109526895657809</c:v>
                </c:pt>
                <c:pt idx="2">
                  <c:v>0.62839410395655548</c:v>
                </c:pt>
              </c:numCache>
            </c:numRef>
          </c:val>
          <c:extLst>
            <c:ext xmlns:c16="http://schemas.microsoft.com/office/drawing/2014/chart" uri="{C3380CC4-5D6E-409C-BE32-E72D297353CC}">
              <c16:uniqueId val="{00000001-201A-A349-A40E-210E8EB9478E}"/>
            </c:ext>
          </c:extLst>
        </c:ser>
        <c:dLbls>
          <c:showLegendKey val="0"/>
          <c:showVal val="0"/>
          <c:showCatName val="0"/>
          <c:showSerName val="0"/>
          <c:showPercent val="0"/>
          <c:showBubbleSize val="0"/>
        </c:dLbls>
        <c:gapWidth val="53"/>
        <c:overlap val="100"/>
        <c:axId val="486515008"/>
        <c:axId val="489400384"/>
      </c:barChart>
      <c:catAx>
        <c:axId val="48651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489400384"/>
        <c:crosses val="autoZero"/>
        <c:auto val="1"/>
        <c:lblAlgn val="ctr"/>
        <c:lblOffset val="100"/>
        <c:noMultiLvlLbl val="0"/>
      </c:catAx>
      <c:valAx>
        <c:axId val="489400384"/>
        <c:scaling>
          <c:orientation val="minMax"/>
        </c:scaling>
        <c:delete val="1"/>
        <c:axPos val="l"/>
        <c:numFmt formatCode="0%" sourceLinked="1"/>
        <c:majorTickMark val="none"/>
        <c:minorTickMark val="none"/>
        <c:tickLblPos val="nextTo"/>
        <c:crossAx val="48651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Analysis!$B$37</c:f>
              <c:strCache>
                <c:ptCount val="1"/>
                <c:pt idx="0">
                  <c:v>Total</c:v>
                </c:pt>
              </c:strCache>
            </c:strRef>
          </c:tx>
          <c:spPr>
            <a:solidFill>
              <a:schemeClr val="accent2">
                <a:lumMod val="40000"/>
                <a:lumOff val="60000"/>
              </a:schemeClr>
            </a:solidFill>
            <a:ln>
              <a:noFill/>
            </a:ln>
            <a:effectLst/>
          </c:spPr>
          <c:invertIfNegative val="0"/>
          <c:cat>
            <c:strRef>
              <c:f>Analysis!$A$38:$A$42</c:f>
              <c:strCache>
                <c:ptCount val="5"/>
                <c:pt idx="0">
                  <c:v>1</c:v>
                </c:pt>
                <c:pt idx="1">
                  <c:v>2</c:v>
                </c:pt>
                <c:pt idx="2">
                  <c:v>3</c:v>
                </c:pt>
                <c:pt idx="3">
                  <c:v>4</c:v>
                </c:pt>
                <c:pt idx="4">
                  <c:v>5</c:v>
                </c:pt>
              </c:strCache>
            </c:strRef>
          </c:cat>
          <c:val>
            <c:numRef>
              <c:f>Analysis!$B$38:$B$42</c:f>
              <c:numCache>
                <c:formatCode>General</c:formatCode>
                <c:ptCount val="5"/>
                <c:pt idx="0">
                  <c:v>8</c:v>
                </c:pt>
                <c:pt idx="1">
                  <c:v>118</c:v>
                </c:pt>
                <c:pt idx="2">
                  <c:v>591</c:v>
                </c:pt>
                <c:pt idx="3">
                  <c:v>1712</c:v>
                </c:pt>
                <c:pt idx="4">
                  <c:v>1535</c:v>
                </c:pt>
              </c:numCache>
            </c:numRef>
          </c:val>
          <c:extLst>
            <c:ext xmlns:c16="http://schemas.microsoft.com/office/drawing/2014/chart" uri="{C3380CC4-5D6E-409C-BE32-E72D297353CC}">
              <c16:uniqueId val="{00000000-1CDC-4348-A15A-D3E665A524AA}"/>
            </c:ext>
          </c:extLst>
        </c:ser>
        <c:dLbls>
          <c:showLegendKey val="0"/>
          <c:showVal val="0"/>
          <c:showCatName val="0"/>
          <c:showSerName val="0"/>
          <c:showPercent val="0"/>
          <c:showBubbleSize val="0"/>
        </c:dLbls>
        <c:gapWidth val="3"/>
        <c:overlap val="-27"/>
        <c:axId val="522143488"/>
        <c:axId val="489836928"/>
      </c:barChart>
      <c:catAx>
        <c:axId val="52214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489836928"/>
        <c:crosses val="autoZero"/>
        <c:auto val="1"/>
        <c:lblAlgn val="ctr"/>
        <c:lblOffset val="100"/>
        <c:noMultiLvlLbl val="0"/>
      </c:catAx>
      <c:valAx>
        <c:axId val="48983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214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Analysis!$E$22</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Analysis!$D$23:$D$29</c:f>
              <c:strCache>
                <c:ptCount val="7"/>
                <c:pt idx="0">
                  <c:v>Monday</c:v>
                </c:pt>
                <c:pt idx="1">
                  <c:v>Tuesday</c:v>
                </c:pt>
                <c:pt idx="2">
                  <c:v>Wednesday</c:v>
                </c:pt>
                <c:pt idx="3">
                  <c:v>Thursday</c:v>
                </c:pt>
                <c:pt idx="4">
                  <c:v>Friday</c:v>
                </c:pt>
                <c:pt idx="5">
                  <c:v>Saturday</c:v>
                </c:pt>
                <c:pt idx="6">
                  <c:v>Sunday</c:v>
                </c:pt>
              </c:strCache>
            </c:strRef>
          </c:cat>
          <c:val>
            <c:numRef>
              <c:f>Analysis!$E$23:$E$29</c:f>
              <c:numCache>
                <c:formatCode>General</c:formatCode>
                <c:ptCount val="7"/>
                <c:pt idx="0">
                  <c:v>133</c:v>
                </c:pt>
                <c:pt idx="1">
                  <c:v>138</c:v>
                </c:pt>
                <c:pt idx="2">
                  <c:v>153</c:v>
                </c:pt>
                <c:pt idx="3">
                  <c:v>128</c:v>
                </c:pt>
                <c:pt idx="4">
                  <c:v>141</c:v>
                </c:pt>
                <c:pt idx="5">
                  <c:v>161</c:v>
                </c:pt>
                <c:pt idx="6">
                  <c:v>146</c:v>
                </c:pt>
              </c:numCache>
            </c:numRef>
          </c:val>
          <c:extLst>
            <c:ext xmlns:c16="http://schemas.microsoft.com/office/drawing/2014/chart" uri="{C3380CC4-5D6E-409C-BE32-E72D297353CC}">
              <c16:uniqueId val="{00000000-C3D2-B944-A3B1-15A10F9035A9}"/>
            </c:ext>
          </c:extLst>
        </c:ser>
        <c:dLbls>
          <c:showLegendKey val="0"/>
          <c:showVal val="0"/>
          <c:showCatName val="0"/>
          <c:showSerName val="0"/>
          <c:showPercent val="0"/>
          <c:showBubbleSize val="0"/>
        </c:dLbls>
        <c:gapWidth val="42"/>
        <c:axId val="466788672"/>
        <c:axId val="466790464"/>
      </c:barChart>
      <c:catAx>
        <c:axId val="46678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466790464"/>
        <c:crosses val="autoZero"/>
        <c:auto val="1"/>
        <c:lblAlgn val="ctr"/>
        <c:lblOffset val="100"/>
        <c:noMultiLvlLbl val="0"/>
      </c:catAx>
      <c:valAx>
        <c:axId val="466790464"/>
        <c:scaling>
          <c:orientation val="minMax"/>
        </c:scaling>
        <c:delete val="1"/>
        <c:axPos val="b"/>
        <c:numFmt formatCode="General" sourceLinked="1"/>
        <c:majorTickMark val="none"/>
        <c:minorTickMark val="none"/>
        <c:tickLblPos val="nextTo"/>
        <c:crossAx val="46678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Report.xlsx]Analysis!PivotTable3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60000"/>
                  <a:lumOff val="40000"/>
                </a:schemeClr>
              </a:gs>
              <a:gs pos="83000">
                <a:schemeClr val="accent2">
                  <a:lumMod val="20000"/>
                  <a:lumOff val="8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Analysis!$B$22</c:f>
              <c:strCache>
                <c:ptCount val="1"/>
                <c:pt idx="0">
                  <c:v>Total</c:v>
                </c:pt>
              </c:strCache>
            </c:strRef>
          </c:tx>
          <c:spPr>
            <a:gradFill>
              <a:gsLst>
                <a:gs pos="0">
                  <a:schemeClr val="accent2">
                    <a:lumMod val="60000"/>
                    <a:lumOff val="40000"/>
                  </a:schemeClr>
                </a:gs>
                <a:gs pos="83000">
                  <a:schemeClr val="accent2">
                    <a:lumMod val="20000"/>
                    <a:lumOff val="80000"/>
                  </a:schemeClr>
                </a:gs>
                <a:gs pos="100000">
                  <a:schemeClr val="bg1"/>
                </a:gs>
              </a:gsLst>
              <a:lin ang="5400000" scaled="1"/>
            </a:gradFill>
            <a:ln>
              <a:noFill/>
            </a:ln>
            <a:effectLst/>
          </c:spPr>
          <c:cat>
            <c:strRef>
              <c:f>Analysis!$A$23:$A$34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Analysis!$B$23:$B$34</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6211-8841-BCFC-A0EF5493BA0D}"/>
            </c:ext>
          </c:extLst>
        </c:ser>
        <c:dLbls>
          <c:showLegendKey val="0"/>
          <c:showVal val="0"/>
          <c:showCatName val="0"/>
          <c:showSerName val="0"/>
          <c:showPercent val="0"/>
          <c:showBubbleSize val="0"/>
        </c:dLbls>
        <c:axId val="480156224"/>
        <c:axId val="479104960"/>
      </c:areaChart>
      <c:catAx>
        <c:axId val="480156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79104960"/>
        <c:crosses val="autoZero"/>
        <c:auto val="1"/>
        <c:lblAlgn val="ctr"/>
        <c:lblOffset val="100"/>
        <c:noMultiLvlLbl val="0"/>
      </c:catAx>
      <c:valAx>
        <c:axId val="47910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0156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Report.xlsx]Analysis!PivotTable1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Analysis!$A$4:$A$8</c:f>
              <c:strCache>
                <c:ptCount val="5"/>
                <c:pt idx="0">
                  <c:v>R01</c:v>
                </c:pt>
                <c:pt idx="1">
                  <c:v>R02</c:v>
                </c:pt>
                <c:pt idx="2">
                  <c:v>R03</c:v>
                </c:pt>
                <c:pt idx="3">
                  <c:v>R04</c:v>
                </c:pt>
                <c:pt idx="4">
                  <c:v>R05</c:v>
                </c:pt>
              </c:strCache>
            </c:strRef>
          </c:cat>
          <c:val>
            <c:numRef>
              <c:f>Analysis!$B$4:$B$8</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FA6-A043-9B6C-64FF2F13EB1E}"/>
            </c:ext>
          </c:extLst>
        </c:ser>
        <c:dLbls>
          <c:showLegendKey val="0"/>
          <c:showVal val="0"/>
          <c:showCatName val="0"/>
          <c:showSerName val="0"/>
          <c:showPercent val="0"/>
          <c:showBubbleSize val="0"/>
        </c:dLbls>
        <c:gapWidth val="1"/>
        <c:axId val="462789184"/>
        <c:axId val="462790976"/>
      </c:barChart>
      <c:catAx>
        <c:axId val="46278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2790976"/>
        <c:crosses val="autoZero"/>
        <c:auto val="1"/>
        <c:lblAlgn val="ctr"/>
        <c:lblOffset val="100"/>
        <c:noMultiLvlLbl val="0"/>
      </c:catAx>
      <c:valAx>
        <c:axId val="462790976"/>
        <c:scaling>
          <c:orientation val="minMax"/>
        </c:scaling>
        <c:delete val="1"/>
        <c:axPos val="b"/>
        <c:numFmt formatCode="General" sourceLinked="1"/>
        <c:majorTickMark val="none"/>
        <c:minorTickMark val="none"/>
        <c:tickLblPos val="nextTo"/>
        <c:crossAx val="46278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Report.xlsx]Analysis!PivotTable2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Analysis!$A$13:$A$17</c:f>
              <c:strCache>
                <c:ptCount val="5"/>
                <c:pt idx="0">
                  <c:v>R01</c:v>
                </c:pt>
                <c:pt idx="1">
                  <c:v>R02</c:v>
                </c:pt>
                <c:pt idx="2">
                  <c:v>R03</c:v>
                </c:pt>
                <c:pt idx="3">
                  <c:v>R04</c:v>
                </c:pt>
                <c:pt idx="4">
                  <c:v>R05</c:v>
                </c:pt>
              </c:strCache>
            </c:strRef>
          </c:cat>
          <c:val>
            <c:numRef>
              <c:f>Analysis!$B$13:$B$17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EF2-1147-8206-B24EAE2608B3}"/>
            </c:ext>
          </c:extLst>
        </c:ser>
        <c:dLbls>
          <c:showLegendKey val="0"/>
          <c:showVal val="0"/>
          <c:showCatName val="0"/>
          <c:showSerName val="0"/>
          <c:showPercent val="0"/>
          <c:showBubbleSize val="0"/>
        </c:dLbls>
        <c:gapWidth val="1"/>
        <c:axId val="465780032"/>
        <c:axId val="465807424"/>
      </c:barChart>
      <c:catAx>
        <c:axId val="46578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5807424"/>
        <c:crosses val="autoZero"/>
        <c:auto val="1"/>
        <c:lblAlgn val="ctr"/>
        <c:lblOffset val="100"/>
        <c:noMultiLvlLbl val="0"/>
      </c:catAx>
      <c:valAx>
        <c:axId val="465807424"/>
        <c:scaling>
          <c:orientation val="minMax"/>
        </c:scaling>
        <c:delete val="1"/>
        <c:axPos val="b"/>
        <c:numFmt formatCode="General" sourceLinked="1"/>
        <c:majorTickMark val="none"/>
        <c:minorTickMark val="none"/>
        <c:tickLblPos val="nextTo"/>
        <c:crossAx val="4657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3" Type="http://schemas.openxmlformats.org/officeDocument/2006/relationships/chart" Target="../charts/chart3.xml"/><Relationship Id="rId7" Type="http://schemas.openxmlformats.org/officeDocument/2006/relationships/image" Target="../media/image6.png"/><Relationship Id="rId12"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5.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0.png"/><Relationship Id="rId5" Type="http://schemas.openxmlformats.org/officeDocument/2006/relationships/chart" Target="../charts/chart5.xml"/><Relationship Id="rId15" Type="http://schemas.openxmlformats.org/officeDocument/2006/relationships/image" Target="../media/image14.png"/><Relationship Id="rId10" Type="http://schemas.openxmlformats.org/officeDocument/2006/relationships/image" Target="../media/image9.svg"/><Relationship Id="rId4" Type="http://schemas.openxmlformats.org/officeDocument/2006/relationships/chart" Target="../charts/chart4.xml"/><Relationship Id="rId9" Type="http://schemas.openxmlformats.org/officeDocument/2006/relationships/image" Target="../media/image8.png"/><Relationship Id="rId14" Type="http://schemas.openxmlformats.org/officeDocument/2006/relationships/image" Target="../media/image13.svg"/></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11</xdr:col>
      <xdr:colOff>787400</xdr:colOff>
      <xdr:row>3</xdr:row>
      <xdr:rowOff>38100</xdr:rowOff>
    </xdr:from>
    <xdr:to>
      <xdr:col>15</xdr:col>
      <xdr:colOff>939800</xdr:colOff>
      <xdr:row>18</xdr:row>
      <xdr:rowOff>25400</xdr:rowOff>
    </xdr:to>
    <xdr:graphicFrame macro="">
      <xdr:nvGraphicFramePr>
        <xdr:cNvPr id="2" name="Chart 1">
          <a:extLst>
            <a:ext uri="{FF2B5EF4-FFF2-40B4-BE49-F238E27FC236}">
              <a16:creationId xmlns:a16="http://schemas.microsoft.com/office/drawing/2014/main" id="{4631E473-B0CB-9640-B990-8BDF578A4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977900</xdr:colOff>
      <xdr:row>3</xdr:row>
      <xdr:rowOff>25400</xdr:rowOff>
    </xdr:from>
    <xdr:to>
      <xdr:col>20</xdr:col>
      <xdr:colOff>114300</xdr:colOff>
      <xdr:row>18</xdr:row>
      <xdr:rowOff>38100</xdr:rowOff>
    </xdr:to>
    <xdr:graphicFrame macro="">
      <xdr:nvGraphicFramePr>
        <xdr:cNvPr id="3" name="Chart 2">
          <a:extLst>
            <a:ext uri="{FF2B5EF4-FFF2-40B4-BE49-F238E27FC236}">
              <a16:creationId xmlns:a16="http://schemas.microsoft.com/office/drawing/2014/main" id="{4F19BB63-DC9B-A547-9955-225DBE7D8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6</xdr:row>
      <xdr:rowOff>12700</xdr:rowOff>
    </xdr:from>
    <xdr:to>
      <xdr:col>11</xdr:col>
      <xdr:colOff>508000</xdr:colOff>
      <xdr:row>15</xdr:row>
      <xdr:rowOff>50800</xdr:rowOff>
    </xdr:to>
    <xdr:graphicFrame macro="">
      <xdr:nvGraphicFramePr>
        <xdr:cNvPr id="4" name="Chart 3">
          <a:extLst>
            <a:ext uri="{FF2B5EF4-FFF2-40B4-BE49-F238E27FC236}">
              <a16:creationId xmlns:a16="http://schemas.microsoft.com/office/drawing/2014/main" id="{E0085AD7-FE72-6546-B369-EB46185BA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4</xdr:row>
      <xdr:rowOff>152400</xdr:rowOff>
    </xdr:from>
    <xdr:to>
      <xdr:col>9</xdr:col>
      <xdr:colOff>139700</xdr:colOff>
      <xdr:row>17</xdr:row>
      <xdr:rowOff>25400</xdr:rowOff>
    </xdr:to>
    <xdr:graphicFrame macro="">
      <xdr:nvGraphicFramePr>
        <xdr:cNvPr id="5" name="Chart 4">
          <a:extLst>
            <a:ext uri="{FF2B5EF4-FFF2-40B4-BE49-F238E27FC236}">
              <a16:creationId xmlns:a16="http://schemas.microsoft.com/office/drawing/2014/main" id="{BA5FC61D-50AB-C84E-85AE-A2480C005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177800</xdr:colOff>
      <xdr:row>22</xdr:row>
      <xdr:rowOff>38100</xdr:rowOff>
    </xdr:from>
    <xdr:to>
      <xdr:col>7</xdr:col>
      <xdr:colOff>152400</xdr:colOff>
      <xdr:row>36</xdr:row>
      <xdr:rowOff>114300</xdr:rowOff>
    </xdr:to>
    <xdr:graphicFrame macro="">
      <xdr:nvGraphicFramePr>
        <xdr:cNvPr id="8" name="Chart 7">
          <a:extLst>
            <a:ext uri="{FF2B5EF4-FFF2-40B4-BE49-F238E27FC236}">
              <a16:creationId xmlns:a16="http://schemas.microsoft.com/office/drawing/2014/main" id="{F733F1D5-60D4-DA4F-8033-B560728E9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177800</xdr:colOff>
      <xdr:row>22</xdr:row>
      <xdr:rowOff>38100</xdr:rowOff>
    </xdr:from>
    <xdr:to>
      <xdr:col>10</xdr:col>
      <xdr:colOff>12700</xdr:colOff>
      <xdr:row>36</xdr:row>
      <xdr:rowOff>114300</xdr:rowOff>
    </xdr:to>
    <xdr:graphicFrame macro="">
      <xdr:nvGraphicFramePr>
        <xdr:cNvPr id="9" name="Chart 8">
          <a:extLst>
            <a:ext uri="{FF2B5EF4-FFF2-40B4-BE49-F238E27FC236}">
              <a16:creationId xmlns:a16="http://schemas.microsoft.com/office/drawing/2014/main" id="{A5AC4951-A09D-6B43-89D3-6047269A9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38100</xdr:colOff>
      <xdr:row>25</xdr:row>
      <xdr:rowOff>1</xdr:rowOff>
    </xdr:from>
    <xdr:to>
      <xdr:col>11</xdr:col>
      <xdr:colOff>482600</xdr:colOff>
      <xdr:row>32</xdr:row>
      <xdr:rowOff>127001</xdr:rowOff>
    </xdr:to>
    <mc:AlternateContent xmlns:mc="http://schemas.openxmlformats.org/markup-compatibility/2006">
      <mc:Choice xmlns:a14="http://schemas.microsoft.com/office/drawing/2010/main" Requires="a14">
        <xdr:graphicFrame macro="">
          <xdr:nvGraphicFramePr>
            <xdr:cNvPr id="10" name="Representative">
              <a:extLst>
                <a:ext uri="{FF2B5EF4-FFF2-40B4-BE49-F238E27FC236}">
                  <a16:creationId xmlns:a16="http://schemas.microsoft.com/office/drawing/2014/main" id="{928D8AF1-1026-104A-A4CC-8D6A742012C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738918" y="4906819"/>
              <a:ext cx="1275773" cy="15009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241300</xdr:colOff>
      <xdr:row>20</xdr:row>
      <xdr:rowOff>63500</xdr:rowOff>
    </xdr:from>
    <xdr:to>
      <xdr:col>6</xdr:col>
      <xdr:colOff>482600</xdr:colOff>
      <xdr:row>22</xdr:row>
      <xdr:rowOff>38100</xdr:rowOff>
    </xdr:to>
    <xdr:sp macro="" textlink="">
      <xdr:nvSpPr>
        <xdr:cNvPr id="11" name="TextBox 10">
          <a:extLst>
            <a:ext uri="{FF2B5EF4-FFF2-40B4-BE49-F238E27FC236}">
              <a16:creationId xmlns:a16="http://schemas.microsoft.com/office/drawing/2014/main" id="{E436A51A-A371-E368-B7EF-992388FF3446}"/>
            </a:ext>
          </a:extLst>
        </xdr:cNvPr>
        <xdr:cNvSpPr txBox="1"/>
      </xdr:nvSpPr>
      <xdr:spPr>
        <a:xfrm>
          <a:off x="2933700" y="3873500"/>
          <a:ext cx="18923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2"/>
              </a:solidFill>
            </a:rPr>
            <a:t>Amount</a:t>
          </a:r>
        </a:p>
      </xdr:txBody>
    </xdr:sp>
    <xdr:clientData/>
  </xdr:twoCellAnchor>
  <xdr:twoCellAnchor>
    <xdr:from>
      <xdr:col>7</xdr:col>
      <xdr:colOff>228600</xdr:colOff>
      <xdr:row>20</xdr:row>
      <xdr:rowOff>63500</xdr:rowOff>
    </xdr:from>
    <xdr:to>
      <xdr:col>9</xdr:col>
      <xdr:colOff>469900</xdr:colOff>
      <xdr:row>22</xdr:row>
      <xdr:rowOff>38100</xdr:rowOff>
    </xdr:to>
    <xdr:sp macro="" textlink="">
      <xdr:nvSpPr>
        <xdr:cNvPr id="12" name="TextBox 11">
          <a:extLst>
            <a:ext uri="{FF2B5EF4-FFF2-40B4-BE49-F238E27FC236}">
              <a16:creationId xmlns:a16="http://schemas.microsoft.com/office/drawing/2014/main" id="{ADC35858-121D-C24A-8691-8F2822761027}"/>
            </a:ext>
          </a:extLst>
        </xdr:cNvPr>
        <xdr:cNvSpPr txBox="1"/>
      </xdr:nvSpPr>
      <xdr:spPr>
        <a:xfrm>
          <a:off x="5397500" y="3873500"/>
          <a:ext cx="18923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2">
                  <a:lumMod val="50000"/>
                </a:schemeClr>
              </a:solidFill>
            </a:rPr>
            <a:t>Calls</a:t>
          </a:r>
        </a:p>
      </xdr:txBody>
    </xdr:sp>
    <xdr:clientData/>
  </xdr:twoCellAnchor>
  <xdr:twoCellAnchor>
    <xdr:from>
      <xdr:col>5</xdr:col>
      <xdr:colOff>546100</xdr:colOff>
      <xdr:row>2</xdr:row>
      <xdr:rowOff>177800</xdr:rowOff>
    </xdr:from>
    <xdr:to>
      <xdr:col>7</xdr:col>
      <xdr:colOff>787400</xdr:colOff>
      <xdr:row>4</xdr:row>
      <xdr:rowOff>152400</xdr:rowOff>
    </xdr:to>
    <xdr:sp macro="" textlink="">
      <xdr:nvSpPr>
        <xdr:cNvPr id="13" name="TextBox 12">
          <a:extLst>
            <a:ext uri="{FF2B5EF4-FFF2-40B4-BE49-F238E27FC236}">
              <a16:creationId xmlns:a16="http://schemas.microsoft.com/office/drawing/2014/main" id="{5CB4B7A0-6F05-874A-B9C7-A159875E1954}"/>
            </a:ext>
          </a:extLst>
        </xdr:cNvPr>
        <xdr:cNvSpPr txBox="1"/>
      </xdr:nvSpPr>
      <xdr:spPr>
        <a:xfrm>
          <a:off x="4064000" y="558800"/>
          <a:ext cx="18923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2"/>
              </a:solidFill>
            </a:rPr>
            <a:t>Call</a:t>
          </a:r>
          <a:r>
            <a:rPr lang="en-GB" sz="1800" baseline="0">
              <a:solidFill>
                <a:schemeClr val="accent2"/>
              </a:solidFill>
            </a:rPr>
            <a:t> Trend</a:t>
          </a:r>
          <a:endParaRPr lang="en-GB" sz="1800">
            <a:solidFill>
              <a:schemeClr val="accent2"/>
            </a:solidFill>
          </a:endParaRPr>
        </a:p>
      </xdr:txBody>
    </xdr:sp>
    <xdr:clientData/>
  </xdr:twoCellAnchor>
  <xdr:twoCellAnchor>
    <xdr:from>
      <xdr:col>0</xdr:col>
      <xdr:colOff>127000</xdr:colOff>
      <xdr:row>4</xdr:row>
      <xdr:rowOff>25400</xdr:rowOff>
    </xdr:from>
    <xdr:to>
      <xdr:col>2</xdr:col>
      <xdr:colOff>787400</xdr:colOff>
      <xdr:row>8</xdr:row>
      <xdr:rowOff>76200</xdr:rowOff>
    </xdr:to>
    <xdr:sp macro="" textlink="Analysis!E4">
      <xdr:nvSpPr>
        <xdr:cNvPr id="14" name="Rounded Rectangle 13">
          <a:extLst>
            <a:ext uri="{FF2B5EF4-FFF2-40B4-BE49-F238E27FC236}">
              <a16:creationId xmlns:a16="http://schemas.microsoft.com/office/drawing/2014/main" id="{444D3A6B-610D-CA6E-407F-19357B977570}"/>
            </a:ext>
          </a:extLst>
        </xdr:cNvPr>
        <xdr:cNvSpPr/>
      </xdr:nvSpPr>
      <xdr:spPr>
        <a:xfrm>
          <a:off x="127000" y="787400"/>
          <a:ext cx="1701800" cy="812800"/>
        </a:xfrm>
        <a:prstGeom prst="round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5619BC8-E3B2-9844-900D-405D02E8F2CD}" type="TxLink">
            <a:rPr lang="en-US" sz="1800" b="0" i="0" u="none" strike="noStrike">
              <a:solidFill>
                <a:schemeClr val="bg1"/>
              </a:solidFill>
              <a:latin typeface="Aptos"/>
            </a:rPr>
            <a:pPr algn="ctr"/>
            <a:t>1000</a:t>
          </a:fld>
          <a:endParaRPr lang="en-GB" sz="1800">
            <a:solidFill>
              <a:schemeClr val="bg1"/>
            </a:solidFill>
          </a:endParaRPr>
        </a:p>
      </xdr:txBody>
    </xdr:sp>
    <xdr:clientData/>
  </xdr:twoCellAnchor>
  <xdr:twoCellAnchor>
    <xdr:from>
      <xdr:col>0</xdr:col>
      <xdr:colOff>127000</xdr:colOff>
      <xdr:row>9</xdr:row>
      <xdr:rowOff>165100</xdr:rowOff>
    </xdr:from>
    <xdr:to>
      <xdr:col>2</xdr:col>
      <xdr:colOff>787400</xdr:colOff>
      <xdr:row>14</xdr:row>
      <xdr:rowOff>25400</xdr:rowOff>
    </xdr:to>
    <xdr:sp macro="" textlink="Analysis!F4">
      <xdr:nvSpPr>
        <xdr:cNvPr id="15" name="Rounded Rectangle 14">
          <a:extLst>
            <a:ext uri="{FF2B5EF4-FFF2-40B4-BE49-F238E27FC236}">
              <a16:creationId xmlns:a16="http://schemas.microsoft.com/office/drawing/2014/main" id="{F519648F-8F8F-2545-B349-24FCC8DB03A1}"/>
            </a:ext>
          </a:extLst>
        </xdr:cNvPr>
        <xdr:cNvSpPr/>
      </xdr:nvSpPr>
      <xdr:spPr>
        <a:xfrm>
          <a:off x="127000" y="1879600"/>
          <a:ext cx="1701800" cy="812800"/>
        </a:xfrm>
        <a:prstGeom prst="round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C6C8CCF-0434-CC46-A29F-A24F18781210}" type="TxLink">
            <a:rPr lang="en-US" sz="1800" b="0" i="0" u="none" strike="noStrike">
              <a:solidFill>
                <a:schemeClr val="bg1"/>
              </a:solidFill>
              <a:latin typeface="Aptos"/>
            </a:rPr>
            <a:t> ₦96,623 </a:t>
          </a:fld>
          <a:endParaRPr lang="en-GB" sz="3200">
            <a:solidFill>
              <a:schemeClr val="bg1"/>
            </a:solidFill>
          </a:endParaRPr>
        </a:p>
      </xdr:txBody>
    </xdr:sp>
    <xdr:clientData/>
  </xdr:twoCellAnchor>
  <xdr:twoCellAnchor>
    <xdr:from>
      <xdr:col>0</xdr:col>
      <xdr:colOff>114300</xdr:colOff>
      <xdr:row>15</xdr:row>
      <xdr:rowOff>127000</xdr:rowOff>
    </xdr:from>
    <xdr:to>
      <xdr:col>2</xdr:col>
      <xdr:colOff>774700</xdr:colOff>
      <xdr:row>19</xdr:row>
      <xdr:rowOff>177800</xdr:rowOff>
    </xdr:to>
    <xdr:sp macro="" textlink="Analysis!G4">
      <xdr:nvSpPr>
        <xdr:cNvPr id="16" name="Rounded Rectangle 15">
          <a:extLst>
            <a:ext uri="{FF2B5EF4-FFF2-40B4-BE49-F238E27FC236}">
              <a16:creationId xmlns:a16="http://schemas.microsoft.com/office/drawing/2014/main" id="{47FB9204-CCC9-EA42-9A2F-9758279A5460}"/>
            </a:ext>
          </a:extLst>
        </xdr:cNvPr>
        <xdr:cNvSpPr/>
      </xdr:nvSpPr>
      <xdr:spPr>
        <a:xfrm>
          <a:off x="114300" y="2984500"/>
          <a:ext cx="1701800" cy="812800"/>
        </a:xfrm>
        <a:prstGeom prst="round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F6FD072-5787-C748-8F39-D430A7A9406B}" type="TxLink">
            <a:rPr lang="en-US" sz="1800" b="0" i="0" u="none" strike="noStrike">
              <a:solidFill>
                <a:schemeClr val="bg1"/>
              </a:solidFill>
              <a:latin typeface="Aptos"/>
            </a:rPr>
            <a:t> 89,850 </a:t>
          </a:fld>
          <a:endParaRPr lang="en-GB" sz="3200">
            <a:solidFill>
              <a:schemeClr val="bg1"/>
            </a:solidFill>
          </a:endParaRPr>
        </a:p>
      </xdr:txBody>
    </xdr:sp>
    <xdr:clientData/>
  </xdr:twoCellAnchor>
  <xdr:twoCellAnchor>
    <xdr:from>
      <xdr:col>0</xdr:col>
      <xdr:colOff>127000</xdr:colOff>
      <xdr:row>21</xdr:row>
      <xdr:rowOff>12700</xdr:rowOff>
    </xdr:from>
    <xdr:to>
      <xdr:col>2</xdr:col>
      <xdr:colOff>787400</xdr:colOff>
      <xdr:row>25</xdr:row>
      <xdr:rowOff>63500</xdr:rowOff>
    </xdr:to>
    <xdr:sp macro="" textlink="Analysis!H4">
      <xdr:nvSpPr>
        <xdr:cNvPr id="17" name="Rounded Rectangle 16">
          <a:extLst>
            <a:ext uri="{FF2B5EF4-FFF2-40B4-BE49-F238E27FC236}">
              <a16:creationId xmlns:a16="http://schemas.microsoft.com/office/drawing/2014/main" id="{242CDD46-2BD8-3743-B933-E81A0181379E}"/>
            </a:ext>
          </a:extLst>
        </xdr:cNvPr>
        <xdr:cNvSpPr/>
      </xdr:nvSpPr>
      <xdr:spPr>
        <a:xfrm>
          <a:off x="127000" y="4013200"/>
          <a:ext cx="1701800" cy="812800"/>
        </a:xfrm>
        <a:prstGeom prst="round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4697F9A-25E8-ED40-810A-D2599256649C}" type="TxLink">
            <a:rPr lang="en-US" sz="1800" b="0" i="0" u="none" strike="noStrike">
              <a:solidFill>
                <a:schemeClr val="bg1"/>
              </a:solidFill>
              <a:latin typeface="Aptos"/>
            </a:rPr>
            <a:t>3.9</a:t>
          </a:fld>
          <a:endParaRPr lang="en-GB" sz="3200">
            <a:solidFill>
              <a:schemeClr val="bg1"/>
            </a:solidFill>
          </a:endParaRPr>
        </a:p>
      </xdr:txBody>
    </xdr:sp>
    <xdr:clientData/>
  </xdr:twoCellAnchor>
  <xdr:twoCellAnchor>
    <xdr:from>
      <xdr:col>0</xdr:col>
      <xdr:colOff>127000</xdr:colOff>
      <xdr:row>26</xdr:row>
      <xdr:rowOff>177800</xdr:rowOff>
    </xdr:from>
    <xdr:to>
      <xdr:col>2</xdr:col>
      <xdr:colOff>787400</xdr:colOff>
      <xdr:row>31</xdr:row>
      <xdr:rowOff>38100</xdr:rowOff>
    </xdr:to>
    <xdr:sp macro="" textlink="Analysis!I4">
      <xdr:nvSpPr>
        <xdr:cNvPr id="18" name="Rounded Rectangle 17">
          <a:extLst>
            <a:ext uri="{FF2B5EF4-FFF2-40B4-BE49-F238E27FC236}">
              <a16:creationId xmlns:a16="http://schemas.microsoft.com/office/drawing/2014/main" id="{B9B5C7F6-7025-BC47-BA38-79A15EFD961D}"/>
            </a:ext>
          </a:extLst>
        </xdr:cNvPr>
        <xdr:cNvSpPr/>
      </xdr:nvSpPr>
      <xdr:spPr>
        <a:xfrm>
          <a:off x="127000" y="5130800"/>
          <a:ext cx="1701800" cy="812800"/>
        </a:xfrm>
        <a:prstGeom prst="round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F87EF7-B0AF-0C45-A73D-21B6833D06A5}" type="TxLink">
            <a:rPr lang="en-US" sz="1800" b="0" i="0" u="none" strike="noStrike">
              <a:solidFill>
                <a:schemeClr val="bg1"/>
              </a:solidFill>
              <a:latin typeface="Aptos"/>
            </a:rPr>
            <a:t>735</a:t>
          </a:fld>
          <a:endParaRPr lang="en-GB" sz="3200">
            <a:solidFill>
              <a:schemeClr val="bg1"/>
            </a:solidFill>
          </a:endParaRPr>
        </a:p>
      </xdr:txBody>
    </xdr:sp>
    <xdr:clientData/>
  </xdr:twoCellAnchor>
  <xdr:twoCellAnchor editAs="oneCell">
    <xdr:from>
      <xdr:col>1</xdr:col>
      <xdr:colOff>114300</xdr:colOff>
      <xdr:row>21</xdr:row>
      <xdr:rowOff>88900</xdr:rowOff>
    </xdr:from>
    <xdr:to>
      <xdr:col>1</xdr:col>
      <xdr:colOff>388620</xdr:colOff>
      <xdr:row>22</xdr:row>
      <xdr:rowOff>172720</xdr:rowOff>
    </xdr:to>
    <xdr:pic>
      <xdr:nvPicPr>
        <xdr:cNvPr id="20" name="Graphic 19" descr="Rating 3 Star outline">
          <a:extLst>
            <a:ext uri="{FF2B5EF4-FFF2-40B4-BE49-F238E27FC236}">
              <a16:creationId xmlns:a16="http://schemas.microsoft.com/office/drawing/2014/main" id="{0622707A-2FEC-169B-2B49-0793F7F3BDB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0200" y="4089400"/>
          <a:ext cx="274320" cy="274320"/>
        </a:xfrm>
        <a:prstGeom prst="rect">
          <a:avLst/>
        </a:prstGeom>
      </xdr:spPr>
    </xdr:pic>
    <xdr:clientData/>
  </xdr:twoCellAnchor>
  <xdr:twoCellAnchor editAs="oneCell">
    <xdr:from>
      <xdr:col>0</xdr:col>
      <xdr:colOff>150000</xdr:colOff>
      <xdr:row>26</xdr:row>
      <xdr:rowOff>180620</xdr:rowOff>
    </xdr:from>
    <xdr:to>
      <xdr:col>1</xdr:col>
      <xdr:colOff>355600</xdr:colOff>
      <xdr:row>29</xdr:row>
      <xdr:rowOff>30620</xdr:rowOff>
    </xdr:to>
    <xdr:pic>
      <xdr:nvPicPr>
        <xdr:cNvPr id="22" name="Graphic 21" descr="Grinning face outline outline">
          <a:extLst>
            <a:ext uri="{FF2B5EF4-FFF2-40B4-BE49-F238E27FC236}">
              <a16:creationId xmlns:a16="http://schemas.microsoft.com/office/drawing/2014/main" id="{96970A70-B191-BC92-A3EF-E2D26514BD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0000" y="5133620"/>
          <a:ext cx="421500" cy="421500"/>
        </a:xfrm>
        <a:prstGeom prst="rect">
          <a:avLst/>
        </a:prstGeom>
      </xdr:spPr>
    </xdr:pic>
    <xdr:clientData/>
  </xdr:twoCellAnchor>
  <xdr:twoCellAnchor editAs="oneCell">
    <xdr:from>
      <xdr:col>0</xdr:col>
      <xdr:colOff>211100</xdr:colOff>
      <xdr:row>16</xdr:row>
      <xdr:rowOff>7900</xdr:rowOff>
    </xdr:from>
    <xdr:to>
      <xdr:col>1</xdr:col>
      <xdr:colOff>381000</xdr:colOff>
      <xdr:row>18</xdr:row>
      <xdr:rowOff>12700</xdr:rowOff>
    </xdr:to>
    <xdr:pic>
      <xdr:nvPicPr>
        <xdr:cNvPr id="24" name="Graphic 23" descr="Hourglass 60% outline">
          <a:extLst>
            <a:ext uri="{FF2B5EF4-FFF2-40B4-BE49-F238E27FC236}">
              <a16:creationId xmlns:a16="http://schemas.microsoft.com/office/drawing/2014/main" id="{4DEA271E-915C-A358-7F12-088BFFB345A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1100" y="3055900"/>
          <a:ext cx="385800" cy="385800"/>
        </a:xfrm>
        <a:prstGeom prst="rect">
          <a:avLst/>
        </a:prstGeom>
      </xdr:spPr>
    </xdr:pic>
    <xdr:clientData/>
  </xdr:twoCellAnchor>
  <xdr:twoCellAnchor editAs="oneCell">
    <xdr:from>
      <xdr:col>1</xdr:col>
      <xdr:colOff>18200</xdr:colOff>
      <xdr:row>10</xdr:row>
      <xdr:rowOff>107100</xdr:rowOff>
    </xdr:from>
    <xdr:to>
      <xdr:col>1</xdr:col>
      <xdr:colOff>393700</xdr:colOff>
      <xdr:row>12</xdr:row>
      <xdr:rowOff>101600</xdr:rowOff>
    </xdr:to>
    <xdr:pic>
      <xdr:nvPicPr>
        <xdr:cNvPr id="26" name="Graphic 25" descr="Shopping cart outline">
          <a:extLst>
            <a:ext uri="{FF2B5EF4-FFF2-40B4-BE49-F238E27FC236}">
              <a16:creationId xmlns:a16="http://schemas.microsoft.com/office/drawing/2014/main" id="{FF63F259-64DD-B97B-2EEC-156C97017D4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4100" y="2012100"/>
          <a:ext cx="375500" cy="375500"/>
        </a:xfrm>
        <a:prstGeom prst="rect">
          <a:avLst/>
        </a:prstGeom>
      </xdr:spPr>
    </xdr:pic>
    <xdr:clientData/>
  </xdr:twoCellAnchor>
  <xdr:twoCellAnchor editAs="oneCell">
    <xdr:from>
      <xdr:col>0</xdr:col>
      <xdr:colOff>206300</xdr:colOff>
      <xdr:row>4</xdr:row>
      <xdr:rowOff>142800</xdr:rowOff>
    </xdr:from>
    <xdr:to>
      <xdr:col>1</xdr:col>
      <xdr:colOff>419100</xdr:colOff>
      <xdr:row>7</xdr:row>
      <xdr:rowOff>0</xdr:rowOff>
    </xdr:to>
    <xdr:pic>
      <xdr:nvPicPr>
        <xdr:cNvPr id="28" name="Graphic 27" descr="Call centre outline">
          <a:extLst>
            <a:ext uri="{FF2B5EF4-FFF2-40B4-BE49-F238E27FC236}">
              <a16:creationId xmlns:a16="http://schemas.microsoft.com/office/drawing/2014/main" id="{665D7B17-12E0-5290-2D96-FBA2FEC0CEC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6300" y="904800"/>
          <a:ext cx="428700" cy="428700"/>
        </a:xfrm>
        <a:prstGeom prst="rect">
          <a:avLst/>
        </a:prstGeom>
      </xdr:spPr>
    </xdr:pic>
    <xdr:clientData/>
  </xdr:twoCellAnchor>
  <xdr:twoCellAnchor>
    <xdr:from>
      <xdr:col>1</xdr:col>
      <xdr:colOff>457200</xdr:colOff>
      <xdr:row>5</xdr:row>
      <xdr:rowOff>38100</xdr:rowOff>
    </xdr:from>
    <xdr:to>
      <xdr:col>2</xdr:col>
      <xdr:colOff>520700</xdr:colOff>
      <xdr:row>7</xdr:row>
      <xdr:rowOff>12700</xdr:rowOff>
    </xdr:to>
    <xdr:sp macro="" textlink="">
      <xdr:nvSpPr>
        <xdr:cNvPr id="29" name="TextBox 28">
          <a:extLst>
            <a:ext uri="{FF2B5EF4-FFF2-40B4-BE49-F238E27FC236}">
              <a16:creationId xmlns:a16="http://schemas.microsoft.com/office/drawing/2014/main" id="{99879C28-9986-A345-8432-2B2A31B38CAE}"/>
            </a:ext>
          </a:extLst>
        </xdr:cNvPr>
        <xdr:cNvSpPr txBox="1"/>
      </xdr:nvSpPr>
      <xdr:spPr>
        <a:xfrm>
          <a:off x="673100" y="990600"/>
          <a:ext cx="889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2">
                  <a:lumMod val="50000"/>
                </a:schemeClr>
              </a:solidFill>
            </a:rPr>
            <a:t>Calls</a:t>
          </a:r>
          <a:endParaRPr lang="en-GB" sz="1800">
            <a:solidFill>
              <a:schemeClr val="accent2">
                <a:lumMod val="50000"/>
              </a:schemeClr>
            </a:solidFill>
          </a:endParaRPr>
        </a:p>
      </xdr:txBody>
    </xdr:sp>
    <xdr:clientData/>
  </xdr:twoCellAnchor>
  <xdr:twoCellAnchor>
    <xdr:from>
      <xdr:col>1</xdr:col>
      <xdr:colOff>381000</xdr:colOff>
      <xdr:row>11</xdr:row>
      <xdr:rowOff>0</xdr:rowOff>
    </xdr:from>
    <xdr:to>
      <xdr:col>2</xdr:col>
      <xdr:colOff>444500</xdr:colOff>
      <xdr:row>12</xdr:row>
      <xdr:rowOff>165100</xdr:rowOff>
    </xdr:to>
    <xdr:sp macro="" textlink="">
      <xdr:nvSpPr>
        <xdr:cNvPr id="30" name="TextBox 29">
          <a:extLst>
            <a:ext uri="{FF2B5EF4-FFF2-40B4-BE49-F238E27FC236}">
              <a16:creationId xmlns:a16="http://schemas.microsoft.com/office/drawing/2014/main" id="{0D5482D2-2104-D945-A62B-0758CFDB2C4E}"/>
            </a:ext>
          </a:extLst>
        </xdr:cNvPr>
        <xdr:cNvSpPr txBox="1"/>
      </xdr:nvSpPr>
      <xdr:spPr>
        <a:xfrm>
          <a:off x="596900" y="2095500"/>
          <a:ext cx="889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2">
                  <a:lumMod val="50000"/>
                </a:schemeClr>
              </a:solidFill>
            </a:rPr>
            <a:t>Amount</a:t>
          </a:r>
          <a:endParaRPr lang="en-GB" sz="1800">
            <a:solidFill>
              <a:schemeClr val="accent2">
                <a:lumMod val="50000"/>
              </a:schemeClr>
            </a:solidFill>
          </a:endParaRPr>
        </a:p>
      </xdr:txBody>
    </xdr:sp>
    <xdr:clientData/>
  </xdr:twoCellAnchor>
  <xdr:twoCellAnchor>
    <xdr:from>
      <xdr:col>1</xdr:col>
      <xdr:colOff>254000</xdr:colOff>
      <xdr:row>16</xdr:row>
      <xdr:rowOff>127000</xdr:rowOff>
    </xdr:from>
    <xdr:to>
      <xdr:col>2</xdr:col>
      <xdr:colOff>787400</xdr:colOff>
      <xdr:row>18</xdr:row>
      <xdr:rowOff>101600</xdr:rowOff>
    </xdr:to>
    <xdr:sp macro="" textlink="">
      <xdr:nvSpPr>
        <xdr:cNvPr id="31" name="TextBox 30">
          <a:extLst>
            <a:ext uri="{FF2B5EF4-FFF2-40B4-BE49-F238E27FC236}">
              <a16:creationId xmlns:a16="http://schemas.microsoft.com/office/drawing/2014/main" id="{D4DE5F0B-B8F0-8D47-A255-0D4CF423D6F4}"/>
            </a:ext>
          </a:extLst>
        </xdr:cNvPr>
        <xdr:cNvSpPr txBox="1"/>
      </xdr:nvSpPr>
      <xdr:spPr>
        <a:xfrm>
          <a:off x="469900" y="3175000"/>
          <a:ext cx="13589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2">
                  <a:lumMod val="50000"/>
                </a:schemeClr>
              </a:solidFill>
            </a:rPr>
            <a:t>Total</a:t>
          </a:r>
          <a:r>
            <a:rPr lang="en-GB" sz="1400" baseline="0">
              <a:solidFill>
                <a:schemeClr val="accent2">
                  <a:lumMod val="50000"/>
                </a:schemeClr>
              </a:solidFill>
            </a:rPr>
            <a:t> Duration</a:t>
          </a:r>
          <a:endParaRPr lang="en-GB" sz="1800">
            <a:solidFill>
              <a:schemeClr val="accent2">
                <a:lumMod val="50000"/>
              </a:schemeClr>
            </a:solidFill>
          </a:endParaRPr>
        </a:p>
      </xdr:txBody>
    </xdr:sp>
    <xdr:clientData/>
  </xdr:twoCellAnchor>
  <xdr:twoCellAnchor>
    <xdr:from>
      <xdr:col>1</xdr:col>
      <xdr:colOff>165100</xdr:colOff>
      <xdr:row>22</xdr:row>
      <xdr:rowOff>38100</xdr:rowOff>
    </xdr:from>
    <xdr:to>
      <xdr:col>2</xdr:col>
      <xdr:colOff>736600</xdr:colOff>
      <xdr:row>24</xdr:row>
      <xdr:rowOff>12700</xdr:rowOff>
    </xdr:to>
    <xdr:sp macro="" textlink="">
      <xdr:nvSpPr>
        <xdr:cNvPr id="32" name="TextBox 31">
          <a:extLst>
            <a:ext uri="{FF2B5EF4-FFF2-40B4-BE49-F238E27FC236}">
              <a16:creationId xmlns:a16="http://schemas.microsoft.com/office/drawing/2014/main" id="{4B00AF23-B890-C24A-BADC-563D74F0AF67}"/>
            </a:ext>
          </a:extLst>
        </xdr:cNvPr>
        <xdr:cNvSpPr txBox="1"/>
      </xdr:nvSpPr>
      <xdr:spPr>
        <a:xfrm>
          <a:off x="381000" y="4229100"/>
          <a:ext cx="1397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2">
                  <a:lumMod val="50000"/>
                </a:schemeClr>
              </a:solidFill>
            </a:rPr>
            <a:t>Average Rating</a:t>
          </a:r>
          <a:endParaRPr lang="en-GB" sz="1800">
            <a:solidFill>
              <a:schemeClr val="accent2">
                <a:lumMod val="50000"/>
              </a:schemeClr>
            </a:solidFill>
          </a:endParaRPr>
        </a:p>
      </xdr:txBody>
    </xdr:sp>
    <xdr:clientData/>
  </xdr:twoCellAnchor>
  <xdr:twoCellAnchor>
    <xdr:from>
      <xdr:col>1</xdr:col>
      <xdr:colOff>215900</xdr:colOff>
      <xdr:row>28</xdr:row>
      <xdr:rowOff>25400</xdr:rowOff>
    </xdr:from>
    <xdr:to>
      <xdr:col>3</xdr:col>
      <xdr:colOff>50800</xdr:colOff>
      <xdr:row>30</xdr:row>
      <xdr:rowOff>0</xdr:rowOff>
    </xdr:to>
    <xdr:sp macro="" textlink="">
      <xdr:nvSpPr>
        <xdr:cNvPr id="33" name="TextBox 32">
          <a:extLst>
            <a:ext uri="{FF2B5EF4-FFF2-40B4-BE49-F238E27FC236}">
              <a16:creationId xmlns:a16="http://schemas.microsoft.com/office/drawing/2014/main" id="{158042B7-4A00-AE48-99B6-DFDCDFE79B5A}"/>
            </a:ext>
          </a:extLst>
        </xdr:cNvPr>
        <xdr:cNvSpPr txBox="1"/>
      </xdr:nvSpPr>
      <xdr:spPr>
        <a:xfrm>
          <a:off x="431800" y="5359400"/>
          <a:ext cx="14859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2">
                  <a:lumMod val="50000"/>
                </a:schemeClr>
              </a:solidFill>
            </a:rPr>
            <a:t>Happy Calls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24.641183217595" createdVersion="8" refreshedVersion="8" minRefreshableVersion="3" recordCount="1000" xr:uid="{7E5DE829-EF49-964A-8366-C2FEC3190F00}">
  <cacheSource type="worksheet">
    <worksheetSource name="calls"/>
  </cacheSource>
  <cacheFields count="17">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6"/>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 Bucket" numFmtId="0">
      <sharedItems/>
    </cacheField>
    <cacheField name="Rating rounded" numFmtId="0">
      <sharedItems containsSemiMixedTypes="0" containsString="0" containsNumber="1" containsInteger="1" minValue="0" maxValue="5" count="6">
        <n v="5"/>
        <n v="3"/>
        <n v="4"/>
        <n v="2"/>
        <n v="0"/>
        <n v="1"/>
      </sharedItems>
    </cacheField>
    <cacheField name="happy_calls" numFmtId="0">
      <sharedItems/>
    </cacheField>
    <cacheField name="Gender" numFmtId="0">
      <sharedItems count="2">
        <s v="Male"/>
        <s v="Female"/>
      </sharedItems>
    </cacheField>
    <cacheField name="Age" numFmtId="0">
      <sharedItems containsSemiMixedTypes="0" containsString="0" containsNumber="1" containsInteger="1" minValue="22" maxValue="43"/>
    </cacheField>
    <cacheField name="City" numFmtId="0">
      <sharedItems count="3">
        <s v="Cincinnati"/>
        <s v="Columbus"/>
        <s v="Cleveland"/>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92168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16"/>
    <x v="0"/>
    <x v="0"/>
    <n v="128"/>
    <n v="4.9000000000000004"/>
    <n v="2023"/>
    <x v="0"/>
    <s v="1 to 2 hours"/>
    <x v="0"/>
    <s v="Happy"/>
    <x v="0"/>
    <n v="26"/>
    <x v="0"/>
  </r>
  <r>
    <x v="1"/>
    <x v="1"/>
    <n v="119"/>
    <x v="0"/>
    <x v="0"/>
    <n v="135"/>
    <n v="2.9"/>
    <n v="2023"/>
    <x v="0"/>
    <s v="1 to 2 hours"/>
    <x v="1"/>
    <b v="0"/>
    <x v="0"/>
    <n v="36"/>
    <x v="0"/>
  </r>
  <r>
    <x v="2"/>
    <x v="2"/>
    <n v="68"/>
    <x v="1"/>
    <x v="0"/>
    <n v="66"/>
    <n v="4.7"/>
    <n v="2023"/>
    <x v="0"/>
    <s v="1 to 2 hours"/>
    <x v="0"/>
    <s v="Happy"/>
    <x v="0"/>
    <n v="37"/>
    <x v="1"/>
  </r>
  <r>
    <x v="3"/>
    <x v="3"/>
    <n v="119"/>
    <x v="1"/>
    <x v="0"/>
    <n v="22"/>
    <n v="2.9"/>
    <n v="2023"/>
    <x v="0"/>
    <s v="1 to 2 hours"/>
    <x v="1"/>
    <b v="0"/>
    <x v="1"/>
    <n v="38"/>
    <x v="1"/>
  </r>
  <r>
    <x v="4"/>
    <x v="4"/>
    <n v="128"/>
    <x v="2"/>
    <x v="1"/>
    <n v="31"/>
    <n v="2.8"/>
    <n v="2023"/>
    <x v="1"/>
    <s v="More than 2 hours"/>
    <x v="1"/>
    <b v="0"/>
    <x v="1"/>
    <n v="30"/>
    <x v="0"/>
  </r>
  <r>
    <x v="5"/>
    <x v="4"/>
    <n v="49"/>
    <x v="1"/>
    <x v="2"/>
    <n v="135"/>
    <n v="4.8"/>
    <n v="2023"/>
    <x v="2"/>
    <s v="30 to 60 mins"/>
    <x v="0"/>
    <s v="Happy"/>
    <x v="1"/>
    <n v="30"/>
    <x v="0"/>
  </r>
  <r>
    <x v="6"/>
    <x v="5"/>
    <n v="84"/>
    <x v="0"/>
    <x v="2"/>
    <n v="60"/>
    <n v="4.7"/>
    <n v="2023"/>
    <x v="2"/>
    <s v="1 to 2 hours"/>
    <x v="0"/>
    <s v="Happy"/>
    <x v="1"/>
    <n v="22"/>
    <x v="2"/>
  </r>
  <r>
    <x v="7"/>
    <x v="0"/>
    <n v="103"/>
    <x v="3"/>
    <x v="2"/>
    <n v="148"/>
    <n v="4.4000000000000004"/>
    <n v="2023"/>
    <x v="2"/>
    <s v="1 to 2 hours"/>
    <x v="2"/>
    <s v="Happy"/>
    <x v="0"/>
    <n v="26"/>
    <x v="0"/>
  </r>
  <r>
    <x v="8"/>
    <x v="2"/>
    <n v="31"/>
    <x v="1"/>
    <x v="2"/>
    <n v="135"/>
    <n v="3.6"/>
    <n v="2023"/>
    <x v="2"/>
    <s v="30 to 60 mins"/>
    <x v="2"/>
    <s v="Happy"/>
    <x v="0"/>
    <n v="37"/>
    <x v="1"/>
  </r>
  <r>
    <x v="9"/>
    <x v="6"/>
    <n v="44"/>
    <x v="4"/>
    <x v="2"/>
    <n v="105"/>
    <n v="2.9"/>
    <n v="2023"/>
    <x v="2"/>
    <s v="30 to 60 mins"/>
    <x v="1"/>
    <b v="0"/>
    <x v="1"/>
    <n v="30"/>
    <x v="2"/>
  </r>
  <r>
    <x v="10"/>
    <x v="4"/>
    <n v="102"/>
    <x v="1"/>
    <x v="2"/>
    <n v="69"/>
    <n v="4.9000000000000004"/>
    <n v="2023"/>
    <x v="2"/>
    <s v="1 to 2 hours"/>
    <x v="0"/>
    <s v="Happy"/>
    <x v="1"/>
    <n v="30"/>
    <x v="0"/>
  </r>
  <r>
    <x v="11"/>
    <x v="7"/>
    <n v="135"/>
    <x v="0"/>
    <x v="2"/>
    <n v="46"/>
    <n v="3.4"/>
    <n v="2023"/>
    <x v="2"/>
    <s v="More than 2 hours"/>
    <x v="1"/>
    <b v="0"/>
    <x v="1"/>
    <n v="37"/>
    <x v="2"/>
  </r>
  <r>
    <x v="12"/>
    <x v="8"/>
    <n v="98"/>
    <x v="1"/>
    <x v="3"/>
    <n v="108"/>
    <n v="3.5"/>
    <n v="2023"/>
    <x v="3"/>
    <s v="1 to 2 hours"/>
    <x v="2"/>
    <s v="Happy"/>
    <x v="0"/>
    <n v="31"/>
    <x v="2"/>
  </r>
  <r>
    <x v="13"/>
    <x v="6"/>
    <n v="139"/>
    <x v="1"/>
    <x v="3"/>
    <n v="96"/>
    <n v="4"/>
    <n v="2023"/>
    <x v="3"/>
    <s v="More than 2 hours"/>
    <x v="2"/>
    <s v="Happy"/>
    <x v="1"/>
    <n v="30"/>
    <x v="2"/>
  </r>
  <r>
    <x v="14"/>
    <x v="7"/>
    <n v="48"/>
    <x v="2"/>
    <x v="3"/>
    <n v="68"/>
    <n v="4.9000000000000004"/>
    <n v="2023"/>
    <x v="3"/>
    <s v="30 to 60 mins"/>
    <x v="0"/>
    <s v="Happy"/>
    <x v="1"/>
    <n v="37"/>
    <x v="2"/>
  </r>
  <r>
    <x v="15"/>
    <x v="6"/>
    <n v="176"/>
    <x v="0"/>
    <x v="4"/>
    <n v="24"/>
    <n v="4.8"/>
    <n v="2023"/>
    <x v="4"/>
    <s v="More than 2 hours"/>
    <x v="0"/>
    <s v="Happy"/>
    <x v="1"/>
    <n v="30"/>
    <x v="2"/>
  </r>
  <r>
    <x v="16"/>
    <x v="6"/>
    <n v="99"/>
    <x v="2"/>
    <x v="4"/>
    <n v="195"/>
    <n v="3.9"/>
    <n v="2023"/>
    <x v="4"/>
    <s v="1 to 2 hours"/>
    <x v="2"/>
    <s v="Happy"/>
    <x v="1"/>
    <n v="30"/>
    <x v="2"/>
  </r>
  <r>
    <x v="17"/>
    <x v="9"/>
    <n v="28"/>
    <x v="4"/>
    <x v="4"/>
    <n v="28"/>
    <n v="3.8"/>
    <n v="2023"/>
    <x v="4"/>
    <s v="10 to 30 mins"/>
    <x v="2"/>
    <s v="Happy"/>
    <x v="1"/>
    <n v="25"/>
    <x v="1"/>
  </r>
  <r>
    <x v="18"/>
    <x v="5"/>
    <n v="54"/>
    <x v="1"/>
    <x v="4"/>
    <n v="170"/>
    <n v="4.3"/>
    <n v="2023"/>
    <x v="4"/>
    <s v="30 to 60 mins"/>
    <x v="2"/>
    <s v="Happy"/>
    <x v="1"/>
    <n v="22"/>
    <x v="2"/>
  </r>
  <r>
    <x v="19"/>
    <x v="10"/>
    <n v="48"/>
    <x v="0"/>
    <x v="5"/>
    <n v="30"/>
    <n v="4.4000000000000004"/>
    <n v="2023"/>
    <x v="5"/>
    <s v="30 to 60 mins"/>
    <x v="2"/>
    <s v="Happy"/>
    <x v="0"/>
    <n v="23"/>
    <x v="1"/>
  </r>
  <r>
    <x v="20"/>
    <x v="1"/>
    <n v="128"/>
    <x v="0"/>
    <x v="5"/>
    <n v="72"/>
    <n v="5"/>
    <n v="2023"/>
    <x v="5"/>
    <s v="More than 2 hours"/>
    <x v="0"/>
    <s v="Happy"/>
    <x v="0"/>
    <n v="36"/>
    <x v="0"/>
  </r>
  <r>
    <x v="21"/>
    <x v="1"/>
    <n v="38"/>
    <x v="3"/>
    <x v="6"/>
    <n v="92"/>
    <n v="4.9000000000000004"/>
    <n v="2023"/>
    <x v="6"/>
    <s v="30 to 60 mins"/>
    <x v="0"/>
    <s v="Happy"/>
    <x v="0"/>
    <n v="36"/>
    <x v="0"/>
  </r>
  <r>
    <x v="22"/>
    <x v="0"/>
    <n v="67"/>
    <x v="3"/>
    <x v="7"/>
    <n v="165"/>
    <n v="4.5"/>
    <n v="2023"/>
    <x v="0"/>
    <s v="1 to 2 hours"/>
    <x v="0"/>
    <s v="Happy"/>
    <x v="0"/>
    <n v="26"/>
    <x v="0"/>
  </r>
  <r>
    <x v="23"/>
    <x v="11"/>
    <n v="58"/>
    <x v="1"/>
    <x v="7"/>
    <n v="140"/>
    <n v="2.1"/>
    <n v="2023"/>
    <x v="0"/>
    <s v="30 to 60 mins"/>
    <x v="3"/>
    <b v="0"/>
    <x v="1"/>
    <n v="43"/>
    <x v="2"/>
  </r>
  <r>
    <x v="24"/>
    <x v="6"/>
    <n v="54"/>
    <x v="2"/>
    <x v="7"/>
    <n v="111"/>
    <n v="3.3"/>
    <n v="2023"/>
    <x v="0"/>
    <s v="30 to 60 mins"/>
    <x v="1"/>
    <b v="0"/>
    <x v="1"/>
    <n v="30"/>
    <x v="2"/>
  </r>
  <r>
    <x v="25"/>
    <x v="12"/>
    <n v="28"/>
    <x v="0"/>
    <x v="8"/>
    <n v="63"/>
    <n v="4.0999999999999996"/>
    <n v="2023"/>
    <x v="1"/>
    <s v="10 to 30 mins"/>
    <x v="2"/>
    <s v="Happy"/>
    <x v="1"/>
    <n v="28"/>
    <x v="0"/>
  </r>
  <r>
    <x v="26"/>
    <x v="8"/>
    <n v="73"/>
    <x v="0"/>
    <x v="8"/>
    <n v="80"/>
    <n v="4.2"/>
    <n v="2023"/>
    <x v="1"/>
    <s v="1 to 2 hours"/>
    <x v="2"/>
    <s v="Happy"/>
    <x v="0"/>
    <n v="31"/>
    <x v="2"/>
  </r>
  <r>
    <x v="27"/>
    <x v="4"/>
    <n v="81"/>
    <x v="0"/>
    <x v="9"/>
    <n v="50"/>
    <n v="4.5999999999999996"/>
    <n v="2023"/>
    <x v="2"/>
    <s v="1 to 2 hours"/>
    <x v="0"/>
    <s v="Happy"/>
    <x v="1"/>
    <n v="30"/>
    <x v="0"/>
  </r>
  <r>
    <x v="28"/>
    <x v="9"/>
    <n v="31"/>
    <x v="3"/>
    <x v="9"/>
    <n v="123"/>
    <n v="2.9"/>
    <n v="2023"/>
    <x v="2"/>
    <s v="30 to 60 mins"/>
    <x v="1"/>
    <b v="0"/>
    <x v="1"/>
    <n v="25"/>
    <x v="1"/>
  </r>
  <r>
    <x v="29"/>
    <x v="11"/>
    <n v="155"/>
    <x v="2"/>
    <x v="9"/>
    <n v="110"/>
    <n v="4.8"/>
    <n v="2023"/>
    <x v="2"/>
    <s v="More than 2 hours"/>
    <x v="0"/>
    <s v="Happy"/>
    <x v="1"/>
    <n v="43"/>
    <x v="2"/>
  </r>
  <r>
    <x v="30"/>
    <x v="9"/>
    <n v="80"/>
    <x v="0"/>
    <x v="9"/>
    <n v="140"/>
    <n v="4.2"/>
    <n v="2023"/>
    <x v="2"/>
    <s v="1 to 2 hours"/>
    <x v="2"/>
    <s v="Happy"/>
    <x v="1"/>
    <n v="25"/>
    <x v="1"/>
  </r>
  <r>
    <x v="31"/>
    <x v="4"/>
    <n v="82"/>
    <x v="0"/>
    <x v="10"/>
    <n v="42"/>
    <n v="3.7"/>
    <n v="2023"/>
    <x v="4"/>
    <s v="1 to 2 hours"/>
    <x v="2"/>
    <s v="Happy"/>
    <x v="1"/>
    <n v="30"/>
    <x v="0"/>
  </r>
  <r>
    <x v="32"/>
    <x v="4"/>
    <n v="29"/>
    <x v="2"/>
    <x v="10"/>
    <n v="170"/>
    <n v="5"/>
    <n v="2023"/>
    <x v="4"/>
    <s v="10 to 30 mins"/>
    <x v="0"/>
    <s v="Happy"/>
    <x v="1"/>
    <n v="30"/>
    <x v="0"/>
  </r>
  <r>
    <x v="33"/>
    <x v="10"/>
    <n v="160"/>
    <x v="1"/>
    <x v="11"/>
    <n v="105"/>
    <n v="5"/>
    <n v="2023"/>
    <x v="6"/>
    <s v="More than 2 hours"/>
    <x v="0"/>
    <s v="Happy"/>
    <x v="0"/>
    <n v="23"/>
    <x v="1"/>
  </r>
  <r>
    <x v="34"/>
    <x v="13"/>
    <n v="105"/>
    <x v="0"/>
    <x v="12"/>
    <n v="125"/>
    <n v="4.8"/>
    <n v="2023"/>
    <x v="0"/>
    <s v="1 to 2 hours"/>
    <x v="0"/>
    <s v="Happy"/>
    <x v="0"/>
    <n v="41"/>
    <x v="1"/>
  </r>
  <r>
    <x v="35"/>
    <x v="9"/>
    <n v="75"/>
    <x v="4"/>
    <x v="12"/>
    <n v="26"/>
    <n v="2.4"/>
    <n v="2023"/>
    <x v="0"/>
    <s v="1 to 2 hours"/>
    <x v="3"/>
    <b v="0"/>
    <x v="1"/>
    <n v="25"/>
    <x v="1"/>
  </r>
  <r>
    <x v="36"/>
    <x v="11"/>
    <n v="94"/>
    <x v="4"/>
    <x v="13"/>
    <n v="120"/>
    <n v="3.1"/>
    <n v="2023"/>
    <x v="1"/>
    <s v="1 to 2 hours"/>
    <x v="1"/>
    <b v="0"/>
    <x v="1"/>
    <n v="43"/>
    <x v="2"/>
  </r>
  <r>
    <x v="37"/>
    <x v="1"/>
    <n v="90"/>
    <x v="1"/>
    <x v="13"/>
    <n v="132"/>
    <n v="3.2"/>
    <n v="2023"/>
    <x v="1"/>
    <s v="1 to 2 hours"/>
    <x v="1"/>
    <b v="0"/>
    <x v="0"/>
    <n v="36"/>
    <x v="0"/>
  </r>
  <r>
    <x v="38"/>
    <x v="11"/>
    <n v="81"/>
    <x v="3"/>
    <x v="14"/>
    <n v="86"/>
    <n v="2.4"/>
    <n v="2023"/>
    <x v="2"/>
    <s v="1 to 2 hours"/>
    <x v="3"/>
    <b v="0"/>
    <x v="1"/>
    <n v="43"/>
    <x v="2"/>
  </r>
  <r>
    <x v="39"/>
    <x v="9"/>
    <n v="106"/>
    <x v="0"/>
    <x v="14"/>
    <n v="108"/>
    <n v="5"/>
    <n v="2023"/>
    <x v="2"/>
    <s v="1 to 2 hours"/>
    <x v="0"/>
    <s v="Happy"/>
    <x v="1"/>
    <n v="25"/>
    <x v="1"/>
  </r>
  <r>
    <x v="40"/>
    <x v="1"/>
    <n v="74"/>
    <x v="3"/>
    <x v="14"/>
    <n v="96"/>
    <n v="4.7"/>
    <n v="2023"/>
    <x v="2"/>
    <s v="1 to 2 hours"/>
    <x v="0"/>
    <s v="Happy"/>
    <x v="0"/>
    <n v="36"/>
    <x v="0"/>
  </r>
  <r>
    <x v="41"/>
    <x v="6"/>
    <n v="105"/>
    <x v="1"/>
    <x v="15"/>
    <n v="80"/>
    <n v="4.7"/>
    <n v="2023"/>
    <x v="3"/>
    <s v="1 to 2 hours"/>
    <x v="0"/>
    <s v="Happy"/>
    <x v="1"/>
    <n v="30"/>
    <x v="2"/>
  </r>
  <r>
    <x v="42"/>
    <x v="9"/>
    <n v="89"/>
    <x v="0"/>
    <x v="15"/>
    <n v="155"/>
    <n v="4.0999999999999996"/>
    <n v="2023"/>
    <x v="3"/>
    <s v="1 to 2 hours"/>
    <x v="2"/>
    <s v="Happy"/>
    <x v="1"/>
    <n v="25"/>
    <x v="1"/>
  </r>
  <r>
    <x v="43"/>
    <x v="7"/>
    <n v="132"/>
    <x v="4"/>
    <x v="15"/>
    <n v="168"/>
    <n v="4.0999999999999996"/>
    <n v="2023"/>
    <x v="3"/>
    <s v="More than 2 hours"/>
    <x v="2"/>
    <s v="Happy"/>
    <x v="1"/>
    <n v="37"/>
    <x v="2"/>
  </r>
  <r>
    <x v="44"/>
    <x v="13"/>
    <n v="105"/>
    <x v="2"/>
    <x v="15"/>
    <n v="56"/>
    <n v="3.6"/>
    <n v="2023"/>
    <x v="3"/>
    <s v="1 to 2 hours"/>
    <x v="2"/>
    <s v="Happy"/>
    <x v="0"/>
    <n v="41"/>
    <x v="1"/>
  </r>
  <r>
    <x v="45"/>
    <x v="4"/>
    <n v="13"/>
    <x v="4"/>
    <x v="16"/>
    <n v="32"/>
    <n v="4.4000000000000004"/>
    <n v="2023"/>
    <x v="4"/>
    <s v="10 to 30 mins"/>
    <x v="2"/>
    <s v="Happy"/>
    <x v="1"/>
    <n v="30"/>
    <x v="0"/>
  </r>
  <r>
    <x v="46"/>
    <x v="3"/>
    <n v="131"/>
    <x v="2"/>
    <x v="16"/>
    <n v="78"/>
    <n v="4.4000000000000004"/>
    <n v="2023"/>
    <x v="4"/>
    <s v="More than 2 hours"/>
    <x v="2"/>
    <s v="Happy"/>
    <x v="1"/>
    <n v="38"/>
    <x v="1"/>
  </r>
  <r>
    <x v="47"/>
    <x v="1"/>
    <n v="104"/>
    <x v="0"/>
    <x v="16"/>
    <n v="86"/>
    <n v="4"/>
    <n v="2023"/>
    <x v="4"/>
    <s v="1 to 2 hours"/>
    <x v="2"/>
    <s v="Happy"/>
    <x v="0"/>
    <n v="36"/>
    <x v="0"/>
  </r>
  <r>
    <x v="48"/>
    <x v="0"/>
    <n v="90"/>
    <x v="1"/>
    <x v="17"/>
    <n v="64"/>
    <n v="3.8"/>
    <n v="2023"/>
    <x v="5"/>
    <s v="1 to 2 hours"/>
    <x v="2"/>
    <s v="Happy"/>
    <x v="0"/>
    <n v="26"/>
    <x v="0"/>
  </r>
  <r>
    <x v="49"/>
    <x v="12"/>
    <n v="37"/>
    <x v="1"/>
    <x v="17"/>
    <n v="96"/>
    <n v="3.6"/>
    <n v="2023"/>
    <x v="5"/>
    <s v="30 to 60 mins"/>
    <x v="2"/>
    <s v="Happy"/>
    <x v="1"/>
    <n v="28"/>
    <x v="0"/>
  </r>
  <r>
    <x v="50"/>
    <x v="8"/>
    <n v="149"/>
    <x v="2"/>
    <x v="17"/>
    <n v="72"/>
    <n v="4.3"/>
    <n v="2023"/>
    <x v="5"/>
    <s v="More than 2 hours"/>
    <x v="2"/>
    <s v="Happy"/>
    <x v="0"/>
    <n v="31"/>
    <x v="2"/>
  </r>
  <r>
    <x v="51"/>
    <x v="7"/>
    <n v="100"/>
    <x v="3"/>
    <x v="18"/>
    <n v="135"/>
    <n v="3.8"/>
    <n v="2023"/>
    <x v="6"/>
    <s v="1 to 2 hours"/>
    <x v="2"/>
    <s v="Happy"/>
    <x v="1"/>
    <n v="37"/>
    <x v="2"/>
  </r>
  <r>
    <x v="52"/>
    <x v="7"/>
    <n v="79"/>
    <x v="4"/>
    <x v="18"/>
    <n v="140"/>
    <n v="4.5"/>
    <n v="2023"/>
    <x v="6"/>
    <s v="1 to 2 hours"/>
    <x v="0"/>
    <s v="Happy"/>
    <x v="1"/>
    <n v="37"/>
    <x v="2"/>
  </r>
  <r>
    <x v="53"/>
    <x v="14"/>
    <n v="157"/>
    <x v="2"/>
    <x v="18"/>
    <n v="69"/>
    <n v="4.5"/>
    <n v="2023"/>
    <x v="6"/>
    <s v="More than 2 hours"/>
    <x v="0"/>
    <s v="Happy"/>
    <x v="1"/>
    <n v="42"/>
    <x v="2"/>
  </r>
  <r>
    <x v="54"/>
    <x v="7"/>
    <n v="59"/>
    <x v="0"/>
    <x v="19"/>
    <n v="136"/>
    <n v="4.5999999999999996"/>
    <n v="2023"/>
    <x v="0"/>
    <s v="30 to 60 mins"/>
    <x v="0"/>
    <s v="Happy"/>
    <x v="1"/>
    <n v="37"/>
    <x v="2"/>
  </r>
  <r>
    <x v="55"/>
    <x v="12"/>
    <n v="83"/>
    <x v="2"/>
    <x v="19"/>
    <n v="28"/>
    <n v="4.5"/>
    <n v="2023"/>
    <x v="0"/>
    <s v="1 to 2 hours"/>
    <x v="0"/>
    <s v="Happy"/>
    <x v="1"/>
    <n v="28"/>
    <x v="0"/>
  </r>
  <r>
    <x v="56"/>
    <x v="14"/>
    <n v="58"/>
    <x v="1"/>
    <x v="20"/>
    <n v="135"/>
    <n v="3.3"/>
    <n v="2023"/>
    <x v="1"/>
    <s v="30 to 60 mins"/>
    <x v="1"/>
    <b v="0"/>
    <x v="1"/>
    <n v="42"/>
    <x v="2"/>
  </r>
  <r>
    <x v="57"/>
    <x v="11"/>
    <n v="118"/>
    <x v="1"/>
    <x v="20"/>
    <n v="126"/>
    <n v="2.2999999999999998"/>
    <n v="2023"/>
    <x v="1"/>
    <s v="1 to 2 hours"/>
    <x v="3"/>
    <b v="0"/>
    <x v="1"/>
    <n v="43"/>
    <x v="2"/>
  </r>
  <r>
    <x v="58"/>
    <x v="4"/>
    <n v="63"/>
    <x v="0"/>
    <x v="20"/>
    <n v="160"/>
    <n v="4.3"/>
    <n v="2023"/>
    <x v="1"/>
    <s v="1 to 2 hours"/>
    <x v="2"/>
    <s v="Happy"/>
    <x v="1"/>
    <n v="30"/>
    <x v="0"/>
  </r>
  <r>
    <x v="59"/>
    <x v="14"/>
    <n v="95"/>
    <x v="1"/>
    <x v="21"/>
    <n v="48"/>
    <n v="4.5999999999999996"/>
    <n v="2023"/>
    <x v="2"/>
    <s v="1 to 2 hours"/>
    <x v="0"/>
    <s v="Happy"/>
    <x v="1"/>
    <n v="42"/>
    <x v="2"/>
  </r>
  <r>
    <x v="60"/>
    <x v="7"/>
    <n v="74"/>
    <x v="2"/>
    <x v="21"/>
    <n v="66"/>
    <n v="4"/>
    <n v="2023"/>
    <x v="2"/>
    <s v="1 to 2 hours"/>
    <x v="2"/>
    <s v="Happy"/>
    <x v="1"/>
    <n v="37"/>
    <x v="2"/>
  </r>
  <r>
    <x v="61"/>
    <x v="6"/>
    <n v="130"/>
    <x v="3"/>
    <x v="21"/>
    <n v="126"/>
    <n v="2.5"/>
    <n v="2023"/>
    <x v="2"/>
    <s v="More than 2 hours"/>
    <x v="1"/>
    <b v="0"/>
    <x v="1"/>
    <n v="30"/>
    <x v="2"/>
  </r>
  <r>
    <x v="62"/>
    <x v="11"/>
    <n v="110"/>
    <x v="4"/>
    <x v="21"/>
    <n v="96"/>
    <n v="5"/>
    <n v="2023"/>
    <x v="2"/>
    <s v="1 to 2 hours"/>
    <x v="0"/>
    <s v="Happy"/>
    <x v="1"/>
    <n v="43"/>
    <x v="2"/>
  </r>
  <r>
    <x v="63"/>
    <x v="7"/>
    <n v="71"/>
    <x v="0"/>
    <x v="22"/>
    <n v="90"/>
    <n v="3.8"/>
    <n v="2023"/>
    <x v="3"/>
    <s v="1 to 2 hours"/>
    <x v="2"/>
    <s v="Happy"/>
    <x v="1"/>
    <n v="37"/>
    <x v="2"/>
  </r>
  <r>
    <x v="64"/>
    <x v="13"/>
    <n v="147"/>
    <x v="3"/>
    <x v="22"/>
    <n v="105"/>
    <n v="4.4000000000000004"/>
    <n v="2023"/>
    <x v="3"/>
    <s v="More than 2 hours"/>
    <x v="2"/>
    <s v="Happy"/>
    <x v="0"/>
    <n v="41"/>
    <x v="1"/>
  </r>
  <r>
    <x v="65"/>
    <x v="1"/>
    <n v="69"/>
    <x v="1"/>
    <x v="23"/>
    <n v="40"/>
    <n v="3.8"/>
    <n v="2023"/>
    <x v="4"/>
    <s v="1 to 2 hours"/>
    <x v="2"/>
    <s v="Happy"/>
    <x v="0"/>
    <n v="36"/>
    <x v="0"/>
  </r>
  <r>
    <x v="66"/>
    <x v="11"/>
    <n v="50"/>
    <x v="0"/>
    <x v="23"/>
    <n v="60"/>
    <n v="2"/>
    <n v="2023"/>
    <x v="4"/>
    <s v="30 to 60 mins"/>
    <x v="3"/>
    <b v="0"/>
    <x v="1"/>
    <n v="43"/>
    <x v="2"/>
  </r>
  <r>
    <x v="67"/>
    <x v="6"/>
    <n v="124"/>
    <x v="3"/>
    <x v="24"/>
    <n v="215"/>
    <n v="4.0999999999999996"/>
    <n v="2023"/>
    <x v="5"/>
    <s v="More than 2 hours"/>
    <x v="2"/>
    <s v="Happy"/>
    <x v="1"/>
    <n v="30"/>
    <x v="2"/>
  </r>
  <r>
    <x v="68"/>
    <x v="2"/>
    <n v="81"/>
    <x v="2"/>
    <x v="24"/>
    <n v="156"/>
    <n v="2.6"/>
    <n v="2023"/>
    <x v="5"/>
    <s v="1 to 2 hours"/>
    <x v="1"/>
    <b v="0"/>
    <x v="0"/>
    <n v="37"/>
    <x v="1"/>
  </r>
  <r>
    <x v="69"/>
    <x v="10"/>
    <n v="141"/>
    <x v="4"/>
    <x v="24"/>
    <n v="54"/>
    <n v="0"/>
    <n v="2023"/>
    <x v="5"/>
    <s v="More than 2 hours"/>
    <x v="4"/>
    <b v="0"/>
    <x v="0"/>
    <n v="23"/>
    <x v="1"/>
  </r>
  <r>
    <x v="70"/>
    <x v="10"/>
    <n v="168"/>
    <x v="4"/>
    <x v="25"/>
    <n v="160"/>
    <n v="3.9"/>
    <n v="2023"/>
    <x v="6"/>
    <s v="More than 2 hours"/>
    <x v="2"/>
    <s v="Happy"/>
    <x v="0"/>
    <n v="23"/>
    <x v="1"/>
  </r>
  <r>
    <x v="71"/>
    <x v="13"/>
    <n v="101"/>
    <x v="2"/>
    <x v="25"/>
    <n v="80"/>
    <n v="4.8"/>
    <n v="2023"/>
    <x v="6"/>
    <s v="1 to 2 hours"/>
    <x v="0"/>
    <s v="Happy"/>
    <x v="0"/>
    <n v="41"/>
    <x v="1"/>
  </r>
  <r>
    <x v="72"/>
    <x v="7"/>
    <n v="67"/>
    <x v="2"/>
    <x v="25"/>
    <n v="168"/>
    <n v="2.6"/>
    <n v="2023"/>
    <x v="6"/>
    <s v="1 to 2 hours"/>
    <x v="1"/>
    <b v="0"/>
    <x v="1"/>
    <n v="37"/>
    <x v="2"/>
  </r>
  <r>
    <x v="73"/>
    <x v="14"/>
    <n v="114"/>
    <x v="4"/>
    <x v="26"/>
    <n v="42"/>
    <n v="2.6"/>
    <n v="2023"/>
    <x v="1"/>
    <s v="1 to 2 hours"/>
    <x v="1"/>
    <b v="0"/>
    <x v="1"/>
    <n v="42"/>
    <x v="2"/>
  </r>
  <r>
    <x v="74"/>
    <x v="2"/>
    <n v="42"/>
    <x v="2"/>
    <x v="26"/>
    <n v="205"/>
    <n v="3.6"/>
    <n v="2023"/>
    <x v="1"/>
    <s v="30 to 60 mins"/>
    <x v="2"/>
    <s v="Happy"/>
    <x v="0"/>
    <n v="37"/>
    <x v="1"/>
  </r>
  <r>
    <x v="75"/>
    <x v="4"/>
    <n v="69"/>
    <x v="4"/>
    <x v="26"/>
    <n v="108"/>
    <n v="3.3"/>
    <n v="2023"/>
    <x v="1"/>
    <s v="1 to 2 hours"/>
    <x v="1"/>
    <b v="0"/>
    <x v="1"/>
    <n v="30"/>
    <x v="0"/>
  </r>
  <r>
    <x v="76"/>
    <x v="6"/>
    <n v="145"/>
    <x v="1"/>
    <x v="26"/>
    <n v="78"/>
    <n v="1.9"/>
    <n v="2023"/>
    <x v="1"/>
    <s v="More than 2 hours"/>
    <x v="3"/>
    <b v="0"/>
    <x v="1"/>
    <n v="30"/>
    <x v="2"/>
  </r>
  <r>
    <x v="77"/>
    <x v="1"/>
    <n v="43"/>
    <x v="4"/>
    <x v="26"/>
    <n v="23"/>
    <n v="4.9000000000000004"/>
    <n v="2023"/>
    <x v="1"/>
    <s v="30 to 60 mins"/>
    <x v="0"/>
    <s v="Happy"/>
    <x v="0"/>
    <n v="36"/>
    <x v="0"/>
  </r>
  <r>
    <x v="78"/>
    <x v="4"/>
    <n v="62"/>
    <x v="0"/>
    <x v="27"/>
    <n v="99"/>
    <n v="3.6"/>
    <n v="2023"/>
    <x v="2"/>
    <s v="1 to 2 hours"/>
    <x v="2"/>
    <s v="Happy"/>
    <x v="1"/>
    <n v="30"/>
    <x v="0"/>
  </r>
  <r>
    <x v="79"/>
    <x v="9"/>
    <n v="79"/>
    <x v="4"/>
    <x v="28"/>
    <n v="148"/>
    <n v="4.5"/>
    <n v="2023"/>
    <x v="3"/>
    <s v="1 to 2 hours"/>
    <x v="0"/>
    <s v="Happy"/>
    <x v="1"/>
    <n v="25"/>
    <x v="1"/>
  </r>
  <r>
    <x v="80"/>
    <x v="6"/>
    <n v="45"/>
    <x v="3"/>
    <x v="28"/>
    <n v="34"/>
    <n v="3.7"/>
    <n v="2023"/>
    <x v="3"/>
    <s v="30 to 60 mins"/>
    <x v="2"/>
    <s v="Happy"/>
    <x v="1"/>
    <n v="30"/>
    <x v="2"/>
  </r>
  <r>
    <x v="81"/>
    <x v="4"/>
    <n v="137"/>
    <x v="4"/>
    <x v="28"/>
    <n v="86"/>
    <n v="4.8"/>
    <n v="2023"/>
    <x v="3"/>
    <s v="More than 2 hours"/>
    <x v="0"/>
    <s v="Happy"/>
    <x v="1"/>
    <n v="30"/>
    <x v="0"/>
  </r>
  <r>
    <x v="82"/>
    <x v="14"/>
    <n v="109"/>
    <x v="0"/>
    <x v="28"/>
    <n v="105"/>
    <n v="3.3"/>
    <n v="2023"/>
    <x v="3"/>
    <s v="1 to 2 hours"/>
    <x v="1"/>
    <b v="0"/>
    <x v="1"/>
    <n v="42"/>
    <x v="2"/>
  </r>
  <r>
    <x v="83"/>
    <x v="1"/>
    <n v="78"/>
    <x v="0"/>
    <x v="28"/>
    <n v="62"/>
    <n v="3.1"/>
    <n v="2023"/>
    <x v="3"/>
    <s v="1 to 2 hours"/>
    <x v="1"/>
    <b v="0"/>
    <x v="0"/>
    <n v="36"/>
    <x v="0"/>
  </r>
  <r>
    <x v="84"/>
    <x v="4"/>
    <n v="137"/>
    <x v="3"/>
    <x v="28"/>
    <n v="90"/>
    <n v="4.0999999999999996"/>
    <n v="2023"/>
    <x v="3"/>
    <s v="More than 2 hours"/>
    <x v="2"/>
    <s v="Happy"/>
    <x v="1"/>
    <n v="30"/>
    <x v="0"/>
  </r>
  <r>
    <x v="85"/>
    <x v="3"/>
    <n v="99"/>
    <x v="0"/>
    <x v="29"/>
    <n v="112"/>
    <n v="4.9000000000000004"/>
    <n v="2023"/>
    <x v="4"/>
    <s v="1 to 2 hours"/>
    <x v="0"/>
    <s v="Happy"/>
    <x v="1"/>
    <n v="38"/>
    <x v="1"/>
  </r>
  <r>
    <x v="86"/>
    <x v="11"/>
    <n v="100"/>
    <x v="0"/>
    <x v="29"/>
    <n v="135"/>
    <n v="4"/>
    <n v="2023"/>
    <x v="4"/>
    <s v="1 to 2 hours"/>
    <x v="2"/>
    <s v="Happy"/>
    <x v="1"/>
    <n v="43"/>
    <x v="2"/>
  </r>
  <r>
    <x v="87"/>
    <x v="1"/>
    <n v="47"/>
    <x v="1"/>
    <x v="29"/>
    <n v="34"/>
    <n v="2.1"/>
    <n v="2023"/>
    <x v="4"/>
    <s v="30 to 60 mins"/>
    <x v="3"/>
    <b v="0"/>
    <x v="0"/>
    <n v="36"/>
    <x v="0"/>
  </r>
  <r>
    <x v="88"/>
    <x v="14"/>
    <n v="87"/>
    <x v="2"/>
    <x v="29"/>
    <n v="155"/>
    <n v="4.5"/>
    <n v="2023"/>
    <x v="4"/>
    <s v="1 to 2 hours"/>
    <x v="0"/>
    <s v="Happy"/>
    <x v="1"/>
    <n v="42"/>
    <x v="2"/>
  </r>
  <r>
    <x v="89"/>
    <x v="3"/>
    <n v="143"/>
    <x v="2"/>
    <x v="30"/>
    <n v="124"/>
    <n v="4.9000000000000004"/>
    <n v="2023"/>
    <x v="6"/>
    <s v="More than 2 hours"/>
    <x v="0"/>
    <s v="Happy"/>
    <x v="1"/>
    <n v="38"/>
    <x v="1"/>
  </r>
  <r>
    <x v="90"/>
    <x v="11"/>
    <n v="84"/>
    <x v="0"/>
    <x v="30"/>
    <n v="195"/>
    <n v="4.0999999999999996"/>
    <n v="2023"/>
    <x v="6"/>
    <s v="1 to 2 hours"/>
    <x v="2"/>
    <s v="Happy"/>
    <x v="1"/>
    <n v="43"/>
    <x v="2"/>
  </r>
  <r>
    <x v="91"/>
    <x v="13"/>
    <n v="55"/>
    <x v="2"/>
    <x v="31"/>
    <n v="78"/>
    <n v="4.5"/>
    <n v="2023"/>
    <x v="0"/>
    <s v="30 to 60 mins"/>
    <x v="0"/>
    <s v="Happy"/>
    <x v="0"/>
    <n v="41"/>
    <x v="1"/>
  </r>
  <r>
    <x v="92"/>
    <x v="5"/>
    <n v="135"/>
    <x v="3"/>
    <x v="32"/>
    <n v="35"/>
    <n v="4.8"/>
    <n v="2023"/>
    <x v="2"/>
    <s v="More than 2 hours"/>
    <x v="0"/>
    <s v="Happy"/>
    <x v="1"/>
    <n v="22"/>
    <x v="2"/>
  </r>
  <r>
    <x v="93"/>
    <x v="12"/>
    <n v="152"/>
    <x v="1"/>
    <x v="32"/>
    <n v="123"/>
    <n v="4.5999999999999996"/>
    <n v="2023"/>
    <x v="2"/>
    <s v="More than 2 hours"/>
    <x v="0"/>
    <s v="Happy"/>
    <x v="1"/>
    <n v="28"/>
    <x v="0"/>
  </r>
  <r>
    <x v="94"/>
    <x v="2"/>
    <n v="132"/>
    <x v="1"/>
    <x v="32"/>
    <n v="43"/>
    <n v="4.5999999999999996"/>
    <n v="2023"/>
    <x v="2"/>
    <s v="More than 2 hours"/>
    <x v="0"/>
    <s v="Happy"/>
    <x v="0"/>
    <n v="37"/>
    <x v="1"/>
  </r>
  <r>
    <x v="95"/>
    <x v="10"/>
    <n v="60"/>
    <x v="0"/>
    <x v="33"/>
    <n v="69"/>
    <n v="4.3"/>
    <n v="2023"/>
    <x v="3"/>
    <s v="30 to 60 mins"/>
    <x v="2"/>
    <s v="Happy"/>
    <x v="0"/>
    <n v="23"/>
    <x v="1"/>
  </r>
  <r>
    <x v="96"/>
    <x v="12"/>
    <n v="95"/>
    <x v="1"/>
    <x v="33"/>
    <n v="130"/>
    <n v="5"/>
    <n v="2023"/>
    <x v="3"/>
    <s v="1 to 2 hours"/>
    <x v="0"/>
    <s v="Happy"/>
    <x v="1"/>
    <n v="28"/>
    <x v="0"/>
  </r>
  <r>
    <x v="97"/>
    <x v="0"/>
    <n v="96"/>
    <x v="4"/>
    <x v="33"/>
    <n v="120"/>
    <n v="4"/>
    <n v="2023"/>
    <x v="3"/>
    <s v="1 to 2 hours"/>
    <x v="2"/>
    <s v="Happy"/>
    <x v="0"/>
    <n v="26"/>
    <x v="0"/>
  </r>
  <r>
    <x v="98"/>
    <x v="13"/>
    <n v="45"/>
    <x v="0"/>
    <x v="34"/>
    <n v="84"/>
    <n v="4.5999999999999996"/>
    <n v="2023"/>
    <x v="4"/>
    <s v="30 to 60 mins"/>
    <x v="0"/>
    <s v="Happy"/>
    <x v="0"/>
    <n v="41"/>
    <x v="1"/>
  </r>
  <r>
    <x v="99"/>
    <x v="0"/>
    <n v="132"/>
    <x v="4"/>
    <x v="35"/>
    <n v="112"/>
    <n v="4.5"/>
    <n v="2023"/>
    <x v="5"/>
    <s v="More than 2 hours"/>
    <x v="0"/>
    <s v="Happy"/>
    <x v="0"/>
    <n v="26"/>
    <x v="0"/>
  </r>
  <r>
    <x v="100"/>
    <x v="7"/>
    <n v="95"/>
    <x v="0"/>
    <x v="35"/>
    <n v="66"/>
    <n v="4.5999999999999996"/>
    <n v="2023"/>
    <x v="5"/>
    <s v="1 to 2 hours"/>
    <x v="0"/>
    <s v="Happy"/>
    <x v="1"/>
    <n v="37"/>
    <x v="2"/>
  </r>
  <r>
    <x v="101"/>
    <x v="12"/>
    <n v="131"/>
    <x v="2"/>
    <x v="35"/>
    <n v="172"/>
    <n v="2.6"/>
    <n v="2023"/>
    <x v="5"/>
    <s v="More than 2 hours"/>
    <x v="1"/>
    <b v="0"/>
    <x v="1"/>
    <n v="28"/>
    <x v="0"/>
  </r>
  <r>
    <x v="102"/>
    <x v="9"/>
    <n v="67"/>
    <x v="3"/>
    <x v="36"/>
    <n v="24"/>
    <n v="4.3"/>
    <n v="2023"/>
    <x v="6"/>
    <s v="1 to 2 hours"/>
    <x v="2"/>
    <s v="Happy"/>
    <x v="1"/>
    <n v="25"/>
    <x v="1"/>
  </r>
  <r>
    <x v="103"/>
    <x v="3"/>
    <n v="111"/>
    <x v="2"/>
    <x v="37"/>
    <n v="43"/>
    <n v="3.9"/>
    <n v="2023"/>
    <x v="0"/>
    <s v="1 to 2 hours"/>
    <x v="2"/>
    <s v="Happy"/>
    <x v="1"/>
    <n v="38"/>
    <x v="1"/>
  </r>
  <r>
    <x v="104"/>
    <x v="2"/>
    <n v="78"/>
    <x v="1"/>
    <x v="37"/>
    <n v="23"/>
    <n v="5"/>
    <n v="2023"/>
    <x v="0"/>
    <s v="1 to 2 hours"/>
    <x v="0"/>
    <s v="Happy"/>
    <x v="0"/>
    <n v="37"/>
    <x v="1"/>
  </r>
  <r>
    <x v="105"/>
    <x v="8"/>
    <n v="28"/>
    <x v="4"/>
    <x v="37"/>
    <n v="74"/>
    <n v="3.5"/>
    <n v="2023"/>
    <x v="0"/>
    <s v="10 to 30 mins"/>
    <x v="2"/>
    <s v="Happy"/>
    <x v="0"/>
    <n v="31"/>
    <x v="2"/>
  </r>
  <r>
    <x v="106"/>
    <x v="1"/>
    <n v="127"/>
    <x v="3"/>
    <x v="38"/>
    <n v="165"/>
    <n v="4.7"/>
    <n v="2023"/>
    <x v="1"/>
    <s v="More than 2 hours"/>
    <x v="0"/>
    <s v="Happy"/>
    <x v="0"/>
    <n v="36"/>
    <x v="0"/>
  </r>
  <r>
    <x v="107"/>
    <x v="11"/>
    <n v="137"/>
    <x v="2"/>
    <x v="38"/>
    <n v="34"/>
    <n v="2.9"/>
    <n v="2023"/>
    <x v="1"/>
    <s v="More than 2 hours"/>
    <x v="1"/>
    <b v="0"/>
    <x v="1"/>
    <n v="43"/>
    <x v="2"/>
  </r>
  <r>
    <x v="108"/>
    <x v="1"/>
    <n v="76"/>
    <x v="4"/>
    <x v="38"/>
    <n v="64"/>
    <n v="3.4"/>
    <n v="2023"/>
    <x v="1"/>
    <s v="1 to 2 hours"/>
    <x v="1"/>
    <b v="0"/>
    <x v="0"/>
    <n v="36"/>
    <x v="0"/>
  </r>
  <r>
    <x v="109"/>
    <x v="2"/>
    <n v="80"/>
    <x v="3"/>
    <x v="39"/>
    <n v="155"/>
    <n v="3.2"/>
    <n v="2023"/>
    <x v="2"/>
    <s v="1 to 2 hours"/>
    <x v="1"/>
    <b v="0"/>
    <x v="0"/>
    <n v="37"/>
    <x v="1"/>
  </r>
  <r>
    <x v="110"/>
    <x v="1"/>
    <n v="95"/>
    <x v="1"/>
    <x v="40"/>
    <n v="120"/>
    <n v="4.8"/>
    <n v="2023"/>
    <x v="3"/>
    <s v="1 to 2 hours"/>
    <x v="0"/>
    <s v="Happy"/>
    <x v="0"/>
    <n v="36"/>
    <x v="0"/>
  </r>
  <r>
    <x v="111"/>
    <x v="10"/>
    <n v="30"/>
    <x v="4"/>
    <x v="40"/>
    <n v="105"/>
    <n v="3.6"/>
    <n v="2023"/>
    <x v="3"/>
    <s v="10 to 30 mins"/>
    <x v="2"/>
    <s v="Happy"/>
    <x v="0"/>
    <n v="23"/>
    <x v="1"/>
  </r>
  <r>
    <x v="112"/>
    <x v="4"/>
    <n v="19"/>
    <x v="2"/>
    <x v="40"/>
    <n v="28"/>
    <n v="4.9000000000000004"/>
    <n v="2023"/>
    <x v="3"/>
    <s v="10 to 30 mins"/>
    <x v="0"/>
    <s v="Happy"/>
    <x v="1"/>
    <n v="30"/>
    <x v="0"/>
  </r>
  <r>
    <x v="113"/>
    <x v="6"/>
    <n v="38"/>
    <x v="3"/>
    <x v="40"/>
    <n v="100"/>
    <n v="4.8"/>
    <n v="2023"/>
    <x v="3"/>
    <s v="30 to 60 mins"/>
    <x v="0"/>
    <s v="Happy"/>
    <x v="1"/>
    <n v="30"/>
    <x v="2"/>
  </r>
  <r>
    <x v="114"/>
    <x v="7"/>
    <n v="55"/>
    <x v="2"/>
    <x v="40"/>
    <n v="23"/>
    <n v="3.6"/>
    <n v="2023"/>
    <x v="3"/>
    <s v="30 to 60 mins"/>
    <x v="2"/>
    <s v="Happy"/>
    <x v="1"/>
    <n v="37"/>
    <x v="2"/>
  </r>
  <r>
    <x v="115"/>
    <x v="9"/>
    <n v="27"/>
    <x v="4"/>
    <x v="41"/>
    <n v="70"/>
    <n v="3.9"/>
    <n v="2023"/>
    <x v="4"/>
    <s v="10 to 30 mins"/>
    <x v="2"/>
    <s v="Happy"/>
    <x v="1"/>
    <n v="25"/>
    <x v="1"/>
  </r>
  <r>
    <x v="116"/>
    <x v="9"/>
    <n v="32"/>
    <x v="4"/>
    <x v="41"/>
    <n v="37"/>
    <n v="1.9"/>
    <n v="2023"/>
    <x v="4"/>
    <s v="30 to 60 mins"/>
    <x v="3"/>
    <b v="0"/>
    <x v="1"/>
    <n v="25"/>
    <x v="1"/>
  </r>
  <r>
    <x v="117"/>
    <x v="8"/>
    <n v="116"/>
    <x v="0"/>
    <x v="41"/>
    <n v="140"/>
    <n v="3.6"/>
    <n v="2023"/>
    <x v="4"/>
    <s v="1 to 2 hours"/>
    <x v="2"/>
    <s v="Happy"/>
    <x v="0"/>
    <n v="31"/>
    <x v="2"/>
  </r>
  <r>
    <x v="118"/>
    <x v="0"/>
    <n v="99"/>
    <x v="1"/>
    <x v="41"/>
    <n v="78"/>
    <n v="4.0999999999999996"/>
    <n v="2023"/>
    <x v="4"/>
    <s v="1 to 2 hours"/>
    <x v="2"/>
    <s v="Happy"/>
    <x v="0"/>
    <n v="26"/>
    <x v="0"/>
  </r>
  <r>
    <x v="119"/>
    <x v="1"/>
    <n v="75"/>
    <x v="4"/>
    <x v="42"/>
    <n v="21"/>
    <n v="4.2"/>
    <n v="2023"/>
    <x v="5"/>
    <s v="1 to 2 hours"/>
    <x v="2"/>
    <s v="Happy"/>
    <x v="0"/>
    <n v="36"/>
    <x v="0"/>
  </r>
  <r>
    <x v="120"/>
    <x v="2"/>
    <n v="57"/>
    <x v="0"/>
    <x v="42"/>
    <n v="88"/>
    <n v="4.3"/>
    <n v="2023"/>
    <x v="5"/>
    <s v="30 to 60 mins"/>
    <x v="2"/>
    <s v="Happy"/>
    <x v="0"/>
    <n v="37"/>
    <x v="1"/>
  </r>
  <r>
    <x v="121"/>
    <x v="5"/>
    <n v="155"/>
    <x v="0"/>
    <x v="43"/>
    <n v="180"/>
    <n v="2.2000000000000002"/>
    <n v="2023"/>
    <x v="6"/>
    <s v="More than 2 hours"/>
    <x v="3"/>
    <b v="0"/>
    <x v="1"/>
    <n v="22"/>
    <x v="2"/>
  </r>
  <r>
    <x v="122"/>
    <x v="0"/>
    <n v="68"/>
    <x v="1"/>
    <x v="43"/>
    <n v="22"/>
    <n v="3.3"/>
    <n v="2023"/>
    <x v="6"/>
    <s v="1 to 2 hours"/>
    <x v="1"/>
    <b v="0"/>
    <x v="0"/>
    <n v="26"/>
    <x v="0"/>
  </r>
  <r>
    <x v="123"/>
    <x v="6"/>
    <n v="95"/>
    <x v="1"/>
    <x v="43"/>
    <n v="52"/>
    <n v="4.8"/>
    <n v="2023"/>
    <x v="6"/>
    <s v="1 to 2 hours"/>
    <x v="0"/>
    <s v="Happy"/>
    <x v="1"/>
    <n v="30"/>
    <x v="2"/>
  </r>
  <r>
    <x v="124"/>
    <x v="11"/>
    <n v="65"/>
    <x v="0"/>
    <x v="44"/>
    <n v="80"/>
    <n v="4"/>
    <n v="2023"/>
    <x v="0"/>
    <s v="1 to 2 hours"/>
    <x v="2"/>
    <s v="Happy"/>
    <x v="1"/>
    <n v="43"/>
    <x v="2"/>
  </r>
  <r>
    <x v="125"/>
    <x v="4"/>
    <n v="114"/>
    <x v="2"/>
    <x v="44"/>
    <n v="54"/>
    <n v="1.1000000000000001"/>
    <n v="2023"/>
    <x v="0"/>
    <s v="1 to 2 hours"/>
    <x v="5"/>
    <b v="0"/>
    <x v="1"/>
    <n v="30"/>
    <x v="0"/>
  </r>
  <r>
    <x v="126"/>
    <x v="1"/>
    <n v="155"/>
    <x v="2"/>
    <x v="45"/>
    <n v="80"/>
    <n v="3.9"/>
    <n v="2023"/>
    <x v="1"/>
    <s v="More than 2 hours"/>
    <x v="2"/>
    <s v="Happy"/>
    <x v="0"/>
    <n v="36"/>
    <x v="0"/>
  </r>
  <r>
    <x v="127"/>
    <x v="11"/>
    <n v="114"/>
    <x v="0"/>
    <x v="46"/>
    <n v="120"/>
    <n v="1.8"/>
    <n v="2023"/>
    <x v="2"/>
    <s v="1 to 2 hours"/>
    <x v="3"/>
    <b v="0"/>
    <x v="1"/>
    <n v="43"/>
    <x v="2"/>
  </r>
  <r>
    <x v="128"/>
    <x v="5"/>
    <n v="130"/>
    <x v="3"/>
    <x v="46"/>
    <n v="150"/>
    <n v="1"/>
    <n v="2023"/>
    <x v="2"/>
    <s v="More than 2 hours"/>
    <x v="5"/>
    <b v="0"/>
    <x v="1"/>
    <n v="22"/>
    <x v="2"/>
  </r>
  <r>
    <x v="129"/>
    <x v="1"/>
    <n v="89"/>
    <x v="0"/>
    <x v="46"/>
    <n v="90"/>
    <n v="4.3"/>
    <n v="2023"/>
    <x v="2"/>
    <s v="1 to 2 hours"/>
    <x v="2"/>
    <s v="Happy"/>
    <x v="0"/>
    <n v="36"/>
    <x v="0"/>
  </r>
  <r>
    <x v="130"/>
    <x v="13"/>
    <n v="61"/>
    <x v="4"/>
    <x v="47"/>
    <n v="140"/>
    <n v="3.4"/>
    <n v="2023"/>
    <x v="3"/>
    <s v="1 to 2 hours"/>
    <x v="1"/>
    <b v="0"/>
    <x v="0"/>
    <n v="41"/>
    <x v="1"/>
  </r>
  <r>
    <x v="131"/>
    <x v="6"/>
    <n v="154"/>
    <x v="2"/>
    <x v="47"/>
    <n v="22"/>
    <n v="3.4"/>
    <n v="2023"/>
    <x v="3"/>
    <s v="More than 2 hours"/>
    <x v="1"/>
    <b v="0"/>
    <x v="1"/>
    <n v="30"/>
    <x v="2"/>
  </r>
  <r>
    <x v="132"/>
    <x v="11"/>
    <n v="115"/>
    <x v="3"/>
    <x v="48"/>
    <n v="150"/>
    <n v="4.0999999999999996"/>
    <n v="2023"/>
    <x v="4"/>
    <s v="1 to 2 hours"/>
    <x v="2"/>
    <s v="Happy"/>
    <x v="1"/>
    <n v="43"/>
    <x v="2"/>
  </r>
  <r>
    <x v="133"/>
    <x v="14"/>
    <n v="138"/>
    <x v="1"/>
    <x v="49"/>
    <n v="35"/>
    <n v="4.8"/>
    <n v="2023"/>
    <x v="5"/>
    <s v="More than 2 hours"/>
    <x v="0"/>
    <s v="Happy"/>
    <x v="1"/>
    <n v="42"/>
    <x v="2"/>
  </r>
  <r>
    <x v="134"/>
    <x v="3"/>
    <n v="153"/>
    <x v="0"/>
    <x v="49"/>
    <n v="200"/>
    <n v="2"/>
    <n v="2023"/>
    <x v="5"/>
    <s v="More than 2 hours"/>
    <x v="3"/>
    <b v="0"/>
    <x v="1"/>
    <n v="38"/>
    <x v="1"/>
  </r>
  <r>
    <x v="135"/>
    <x v="11"/>
    <n v="61"/>
    <x v="4"/>
    <x v="50"/>
    <n v="150"/>
    <n v="4.5999999999999996"/>
    <n v="2023"/>
    <x v="6"/>
    <s v="1 to 2 hours"/>
    <x v="0"/>
    <s v="Happy"/>
    <x v="1"/>
    <n v="43"/>
    <x v="2"/>
  </r>
  <r>
    <x v="136"/>
    <x v="9"/>
    <n v="62"/>
    <x v="0"/>
    <x v="50"/>
    <n v="21"/>
    <n v="2.6"/>
    <n v="2023"/>
    <x v="6"/>
    <s v="1 to 2 hours"/>
    <x v="1"/>
    <b v="0"/>
    <x v="1"/>
    <n v="25"/>
    <x v="1"/>
  </r>
  <r>
    <x v="137"/>
    <x v="13"/>
    <n v="151"/>
    <x v="3"/>
    <x v="51"/>
    <n v="46"/>
    <n v="4.9000000000000004"/>
    <n v="2023"/>
    <x v="0"/>
    <s v="More than 2 hours"/>
    <x v="0"/>
    <s v="Happy"/>
    <x v="0"/>
    <n v="41"/>
    <x v="1"/>
  </r>
  <r>
    <x v="138"/>
    <x v="12"/>
    <n v="102"/>
    <x v="2"/>
    <x v="51"/>
    <n v="165"/>
    <n v="2.7"/>
    <n v="2023"/>
    <x v="0"/>
    <s v="1 to 2 hours"/>
    <x v="1"/>
    <b v="0"/>
    <x v="1"/>
    <n v="28"/>
    <x v="0"/>
  </r>
  <r>
    <x v="139"/>
    <x v="10"/>
    <n v="64"/>
    <x v="0"/>
    <x v="51"/>
    <n v="84"/>
    <n v="4.0999999999999996"/>
    <n v="2023"/>
    <x v="0"/>
    <s v="1 to 2 hours"/>
    <x v="2"/>
    <s v="Happy"/>
    <x v="0"/>
    <n v="23"/>
    <x v="1"/>
  </r>
  <r>
    <x v="140"/>
    <x v="1"/>
    <n v="6"/>
    <x v="2"/>
    <x v="52"/>
    <n v="102"/>
    <n v="4.4000000000000004"/>
    <n v="2023"/>
    <x v="1"/>
    <s v="Under 10 mins"/>
    <x v="2"/>
    <s v="Happy"/>
    <x v="0"/>
    <n v="36"/>
    <x v="0"/>
  </r>
  <r>
    <x v="141"/>
    <x v="10"/>
    <n v="129"/>
    <x v="0"/>
    <x v="52"/>
    <n v="180"/>
    <n v="4.8"/>
    <n v="2023"/>
    <x v="1"/>
    <s v="More than 2 hours"/>
    <x v="0"/>
    <s v="Happy"/>
    <x v="0"/>
    <n v="23"/>
    <x v="1"/>
  </r>
  <r>
    <x v="142"/>
    <x v="9"/>
    <n v="42"/>
    <x v="3"/>
    <x v="53"/>
    <n v="111"/>
    <n v="3"/>
    <n v="2023"/>
    <x v="2"/>
    <s v="30 to 60 mins"/>
    <x v="1"/>
    <b v="0"/>
    <x v="1"/>
    <n v="25"/>
    <x v="1"/>
  </r>
  <r>
    <x v="143"/>
    <x v="9"/>
    <n v="71"/>
    <x v="4"/>
    <x v="53"/>
    <n v="104"/>
    <n v="3.1"/>
    <n v="2023"/>
    <x v="2"/>
    <s v="1 to 2 hours"/>
    <x v="1"/>
    <b v="0"/>
    <x v="1"/>
    <n v="25"/>
    <x v="1"/>
  </r>
  <r>
    <x v="144"/>
    <x v="2"/>
    <n v="53"/>
    <x v="2"/>
    <x v="53"/>
    <n v="80"/>
    <n v="2.6"/>
    <n v="2023"/>
    <x v="2"/>
    <s v="30 to 60 mins"/>
    <x v="1"/>
    <b v="0"/>
    <x v="0"/>
    <n v="37"/>
    <x v="1"/>
  </r>
  <r>
    <x v="145"/>
    <x v="4"/>
    <n v="155"/>
    <x v="4"/>
    <x v="54"/>
    <n v="132"/>
    <n v="4.5999999999999996"/>
    <n v="2023"/>
    <x v="3"/>
    <s v="More than 2 hours"/>
    <x v="0"/>
    <s v="Happy"/>
    <x v="1"/>
    <n v="30"/>
    <x v="0"/>
  </r>
  <r>
    <x v="146"/>
    <x v="4"/>
    <n v="90"/>
    <x v="3"/>
    <x v="54"/>
    <n v="170"/>
    <n v="3.7"/>
    <n v="2023"/>
    <x v="3"/>
    <s v="1 to 2 hours"/>
    <x v="2"/>
    <s v="Happy"/>
    <x v="1"/>
    <n v="30"/>
    <x v="0"/>
  </r>
  <r>
    <x v="147"/>
    <x v="10"/>
    <n v="166"/>
    <x v="1"/>
    <x v="54"/>
    <n v="36"/>
    <n v="3.8"/>
    <n v="2023"/>
    <x v="3"/>
    <s v="More than 2 hours"/>
    <x v="2"/>
    <s v="Happy"/>
    <x v="0"/>
    <n v="23"/>
    <x v="1"/>
  </r>
  <r>
    <x v="148"/>
    <x v="8"/>
    <n v="89"/>
    <x v="4"/>
    <x v="54"/>
    <n v="126"/>
    <n v="3.6"/>
    <n v="2023"/>
    <x v="3"/>
    <s v="1 to 2 hours"/>
    <x v="2"/>
    <s v="Happy"/>
    <x v="0"/>
    <n v="31"/>
    <x v="2"/>
  </r>
  <r>
    <x v="149"/>
    <x v="11"/>
    <n v="152"/>
    <x v="2"/>
    <x v="54"/>
    <n v="215"/>
    <n v="4.4000000000000004"/>
    <n v="2023"/>
    <x v="3"/>
    <s v="More than 2 hours"/>
    <x v="2"/>
    <s v="Happy"/>
    <x v="1"/>
    <n v="43"/>
    <x v="2"/>
  </r>
  <r>
    <x v="150"/>
    <x v="8"/>
    <n v="137"/>
    <x v="3"/>
    <x v="54"/>
    <n v="114"/>
    <n v="3.2"/>
    <n v="2023"/>
    <x v="3"/>
    <s v="More than 2 hours"/>
    <x v="1"/>
    <b v="0"/>
    <x v="0"/>
    <n v="31"/>
    <x v="2"/>
  </r>
  <r>
    <x v="151"/>
    <x v="8"/>
    <n v="43"/>
    <x v="3"/>
    <x v="54"/>
    <n v="99"/>
    <n v="4.7"/>
    <n v="2023"/>
    <x v="3"/>
    <s v="30 to 60 mins"/>
    <x v="0"/>
    <s v="Happy"/>
    <x v="0"/>
    <n v="31"/>
    <x v="2"/>
  </r>
  <r>
    <x v="152"/>
    <x v="6"/>
    <n v="114"/>
    <x v="3"/>
    <x v="55"/>
    <n v="23"/>
    <n v="4.8"/>
    <n v="2023"/>
    <x v="4"/>
    <s v="1 to 2 hours"/>
    <x v="0"/>
    <s v="Happy"/>
    <x v="1"/>
    <n v="30"/>
    <x v="2"/>
  </r>
  <r>
    <x v="153"/>
    <x v="3"/>
    <n v="103"/>
    <x v="4"/>
    <x v="55"/>
    <n v="75"/>
    <n v="2.7"/>
    <n v="2023"/>
    <x v="4"/>
    <s v="1 to 2 hours"/>
    <x v="1"/>
    <b v="0"/>
    <x v="1"/>
    <n v="38"/>
    <x v="1"/>
  </r>
  <r>
    <x v="154"/>
    <x v="8"/>
    <n v="98"/>
    <x v="2"/>
    <x v="55"/>
    <n v="100"/>
    <n v="3.8"/>
    <n v="2023"/>
    <x v="4"/>
    <s v="1 to 2 hours"/>
    <x v="2"/>
    <s v="Happy"/>
    <x v="0"/>
    <n v="31"/>
    <x v="2"/>
  </r>
  <r>
    <x v="155"/>
    <x v="10"/>
    <n v="106"/>
    <x v="1"/>
    <x v="55"/>
    <n v="108"/>
    <n v="4.3"/>
    <n v="2023"/>
    <x v="4"/>
    <s v="1 to 2 hours"/>
    <x v="2"/>
    <s v="Happy"/>
    <x v="0"/>
    <n v="23"/>
    <x v="1"/>
  </r>
  <r>
    <x v="156"/>
    <x v="1"/>
    <n v="96"/>
    <x v="1"/>
    <x v="55"/>
    <n v="108"/>
    <n v="5"/>
    <n v="2023"/>
    <x v="4"/>
    <s v="1 to 2 hours"/>
    <x v="0"/>
    <s v="Happy"/>
    <x v="0"/>
    <n v="36"/>
    <x v="0"/>
  </r>
  <r>
    <x v="157"/>
    <x v="3"/>
    <n v="70"/>
    <x v="1"/>
    <x v="55"/>
    <n v="28"/>
    <n v="4.8"/>
    <n v="2023"/>
    <x v="4"/>
    <s v="1 to 2 hours"/>
    <x v="0"/>
    <s v="Happy"/>
    <x v="1"/>
    <n v="38"/>
    <x v="1"/>
  </r>
  <r>
    <x v="158"/>
    <x v="9"/>
    <n v="86"/>
    <x v="0"/>
    <x v="56"/>
    <n v="70"/>
    <n v="4.9000000000000004"/>
    <n v="2023"/>
    <x v="5"/>
    <s v="1 to 2 hours"/>
    <x v="0"/>
    <s v="Happy"/>
    <x v="1"/>
    <n v="25"/>
    <x v="1"/>
  </r>
  <r>
    <x v="159"/>
    <x v="2"/>
    <n v="64"/>
    <x v="0"/>
    <x v="56"/>
    <n v="172"/>
    <n v="4.0999999999999996"/>
    <n v="2023"/>
    <x v="5"/>
    <s v="1 to 2 hours"/>
    <x v="2"/>
    <s v="Happy"/>
    <x v="0"/>
    <n v="37"/>
    <x v="1"/>
  </r>
  <r>
    <x v="160"/>
    <x v="1"/>
    <n v="113"/>
    <x v="2"/>
    <x v="56"/>
    <n v="123"/>
    <n v="4.4000000000000004"/>
    <n v="2023"/>
    <x v="5"/>
    <s v="1 to 2 hours"/>
    <x v="2"/>
    <s v="Happy"/>
    <x v="0"/>
    <n v="36"/>
    <x v="0"/>
  </r>
  <r>
    <x v="161"/>
    <x v="1"/>
    <n v="21"/>
    <x v="1"/>
    <x v="56"/>
    <n v="93"/>
    <n v="3.4"/>
    <n v="2023"/>
    <x v="5"/>
    <s v="10 to 30 mins"/>
    <x v="1"/>
    <b v="0"/>
    <x v="0"/>
    <n v="36"/>
    <x v="0"/>
  </r>
  <r>
    <x v="162"/>
    <x v="12"/>
    <n v="107"/>
    <x v="0"/>
    <x v="56"/>
    <n v="66"/>
    <n v="4"/>
    <n v="2023"/>
    <x v="5"/>
    <s v="1 to 2 hours"/>
    <x v="2"/>
    <s v="Happy"/>
    <x v="1"/>
    <n v="28"/>
    <x v="0"/>
  </r>
  <r>
    <x v="163"/>
    <x v="12"/>
    <n v="131"/>
    <x v="1"/>
    <x v="56"/>
    <n v="39"/>
    <n v="2.4"/>
    <n v="2023"/>
    <x v="5"/>
    <s v="More than 2 hours"/>
    <x v="3"/>
    <b v="0"/>
    <x v="1"/>
    <n v="28"/>
    <x v="0"/>
  </r>
  <r>
    <x v="164"/>
    <x v="0"/>
    <n v="11"/>
    <x v="4"/>
    <x v="56"/>
    <n v="25"/>
    <n v="2.1"/>
    <n v="2023"/>
    <x v="5"/>
    <s v="10 to 30 mins"/>
    <x v="3"/>
    <b v="0"/>
    <x v="0"/>
    <n v="26"/>
    <x v="0"/>
  </r>
  <r>
    <x v="165"/>
    <x v="13"/>
    <n v="86"/>
    <x v="2"/>
    <x v="56"/>
    <n v="68"/>
    <n v="3"/>
    <n v="2023"/>
    <x v="5"/>
    <s v="1 to 2 hours"/>
    <x v="1"/>
    <b v="0"/>
    <x v="0"/>
    <n v="41"/>
    <x v="1"/>
  </r>
  <r>
    <x v="166"/>
    <x v="2"/>
    <n v="28"/>
    <x v="4"/>
    <x v="56"/>
    <n v="84"/>
    <n v="3.2"/>
    <n v="2023"/>
    <x v="5"/>
    <s v="10 to 30 mins"/>
    <x v="1"/>
    <b v="0"/>
    <x v="0"/>
    <n v="37"/>
    <x v="1"/>
  </r>
  <r>
    <x v="167"/>
    <x v="4"/>
    <n v="139"/>
    <x v="1"/>
    <x v="57"/>
    <n v="88"/>
    <n v="3.4"/>
    <n v="2023"/>
    <x v="6"/>
    <s v="More than 2 hours"/>
    <x v="1"/>
    <b v="0"/>
    <x v="1"/>
    <n v="30"/>
    <x v="0"/>
  </r>
  <r>
    <x v="168"/>
    <x v="10"/>
    <n v="82"/>
    <x v="2"/>
    <x v="57"/>
    <n v="93"/>
    <n v="2.7"/>
    <n v="2023"/>
    <x v="6"/>
    <s v="1 to 2 hours"/>
    <x v="1"/>
    <b v="0"/>
    <x v="0"/>
    <n v="23"/>
    <x v="1"/>
  </r>
  <r>
    <x v="169"/>
    <x v="1"/>
    <n v="101"/>
    <x v="4"/>
    <x v="57"/>
    <n v="128"/>
    <n v="5"/>
    <n v="2023"/>
    <x v="6"/>
    <s v="1 to 2 hours"/>
    <x v="0"/>
    <s v="Happy"/>
    <x v="0"/>
    <n v="36"/>
    <x v="0"/>
  </r>
  <r>
    <x v="170"/>
    <x v="2"/>
    <n v="75"/>
    <x v="3"/>
    <x v="57"/>
    <n v="40"/>
    <n v="3.4"/>
    <n v="2023"/>
    <x v="6"/>
    <s v="1 to 2 hours"/>
    <x v="1"/>
    <b v="0"/>
    <x v="0"/>
    <n v="37"/>
    <x v="1"/>
  </r>
  <r>
    <x v="171"/>
    <x v="6"/>
    <n v="40"/>
    <x v="4"/>
    <x v="58"/>
    <n v="92"/>
    <n v="4.7"/>
    <n v="2023"/>
    <x v="0"/>
    <s v="30 to 60 mins"/>
    <x v="0"/>
    <s v="Happy"/>
    <x v="1"/>
    <n v="30"/>
    <x v="2"/>
  </r>
  <r>
    <x v="172"/>
    <x v="8"/>
    <n v="86"/>
    <x v="1"/>
    <x v="58"/>
    <n v="27"/>
    <n v="4.5"/>
    <n v="2023"/>
    <x v="0"/>
    <s v="1 to 2 hours"/>
    <x v="0"/>
    <s v="Happy"/>
    <x v="0"/>
    <n v="31"/>
    <x v="2"/>
  </r>
  <r>
    <x v="173"/>
    <x v="5"/>
    <n v="131"/>
    <x v="0"/>
    <x v="58"/>
    <n v="140"/>
    <n v="4.0999999999999996"/>
    <n v="2023"/>
    <x v="0"/>
    <s v="More than 2 hours"/>
    <x v="2"/>
    <s v="Happy"/>
    <x v="1"/>
    <n v="22"/>
    <x v="2"/>
  </r>
  <r>
    <x v="174"/>
    <x v="12"/>
    <n v="67"/>
    <x v="2"/>
    <x v="58"/>
    <n v="40"/>
    <n v="5"/>
    <n v="2023"/>
    <x v="0"/>
    <s v="1 to 2 hours"/>
    <x v="0"/>
    <s v="Happy"/>
    <x v="1"/>
    <n v="28"/>
    <x v="0"/>
  </r>
  <r>
    <x v="175"/>
    <x v="14"/>
    <n v="71"/>
    <x v="4"/>
    <x v="58"/>
    <n v="102"/>
    <n v="4.7"/>
    <n v="2023"/>
    <x v="0"/>
    <s v="1 to 2 hours"/>
    <x v="0"/>
    <s v="Happy"/>
    <x v="1"/>
    <n v="42"/>
    <x v="2"/>
  </r>
  <r>
    <x v="176"/>
    <x v="5"/>
    <n v="113"/>
    <x v="0"/>
    <x v="58"/>
    <n v="42"/>
    <n v="4.2"/>
    <n v="2023"/>
    <x v="0"/>
    <s v="1 to 2 hours"/>
    <x v="2"/>
    <s v="Happy"/>
    <x v="1"/>
    <n v="22"/>
    <x v="2"/>
  </r>
  <r>
    <x v="177"/>
    <x v="10"/>
    <n v="53"/>
    <x v="1"/>
    <x v="59"/>
    <n v="210"/>
    <n v="3.9"/>
    <n v="2023"/>
    <x v="1"/>
    <s v="30 to 60 mins"/>
    <x v="2"/>
    <s v="Happy"/>
    <x v="0"/>
    <n v="23"/>
    <x v="1"/>
  </r>
  <r>
    <x v="178"/>
    <x v="5"/>
    <n v="153"/>
    <x v="2"/>
    <x v="59"/>
    <n v="34"/>
    <n v="3"/>
    <n v="2023"/>
    <x v="1"/>
    <s v="More than 2 hours"/>
    <x v="1"/>
    <b v="0"/>
    <x v="1"/>
    <n v="22"/>
    <x v="2"/>
  </r>
  <r>
    <x v="179"/>
    <x v="12"/>
    <n v="73"/>
    <x v="3"/>
    <x v="59"/>
    <n v="215"/>
    <n v="3.6"/>
    <n v="2023"/>
    <x v="1"/>
    <s v="1 to 2 hours"/>
    <x v="2"/>
    <s v="Happy"/>
    <x v="1"/>
    <n v="28"/>
    <x v="0"/>
  </r>
  <r>
    <x v="180"/>
    <x v="9"/>
    <n v="62"/>
    <x v="3"/>
    <x v="59"/>
    <n v="32"/>
    <n v="0.7"/>
    <n v="2023"/>
    <x v="1"/>
    <s v="1 to 2 hours"/>
    <x v="5"/>
    <b v="0"/>
    <x v="1"/>
    <n v="25"/>
    <x v="1"/>
  </r>
  <r>
    <x v="181"/>
    <x v="4"/>
    <n v="115"/>
    <x v="1"/>
    <x v="60"/>
    <n v="48"/>
    <n v="4.7"/>
    <n v="2023"/>
    <x v="2"/>
    <s v="1 to 2 hours"/>
    <x v="0"/>
    <s v="Happy"/>
    <x v="1"/>
    <n v="30"/>
    <x v="0"/>
  </r>
  <r>
    <x v="182"/>
    <x v="5"/>
    <n v="69"/>
    <x v="1"/>
    <x v="60"/>
    <n v="132"/>
    <n v="4.5"/>
    <n v="2023"/>
    <x v="2"/>
    <s v="1 to 2 hours"/>
    <x v="0"/>
    <s v="Happy"/>
    <x v="1"/>
    <n v="22"/>
    <x v="2"/>
  </r>
  <r>
    <x v="183"/>
    <x v="8"/>
    <n v="103"/>
    <x v="0"/>
    <x v="60"/>
    <n v="172"/>
    <n v="4.3"/>
    <n v="2023"/>
    <x v="2"/>
    <s v="1 to 2 hours"/>
    <x v="2"/>
    <s v="Happy"/>
    <x v="0"/>
    <n v="31"/>
    <x v="2"/>
  </r>
  <r>
    <x v="184"/>
    <x v="8"/>
    <n v="75"/>
    <x v="0"/>
    <x v="60"/>
    <n v="111"/>
    <n v="3.4"/>
    <n v="2023"/>
    <x v="2"/>
    <s v="1 to 2 hours"/>
    <x v="1"/>
    <b v="0"/>
    <x v="0"/>
    <n v="31"/>
    <x v="2"/>
  </r>
  <r>
    <x v="185"/>
    <x v="7"/>
    <n v="92"/>
    <x v="0"/>
    <x v="60"/>
    <n v="58"/>
    <n v="3.6"/>
    <n v="2023"/>
    <x v="2"/>
    <s v="1 to 2 hours"/>
    <x v="2"/>
    <s v="Happy"/>
    <x v="1"/>
    <n v="37"/>
    <x v="2"/>
  </r>
  <r>
    <x v="186"/>
    <x v="7"/>
    <n v="41"/>
    <x v="3"/>
    <x v="60"/>
    <n v="68"/>
    <n v="4"/>
    <n v="2023"/>
    <x v="2"/>
    <s v="30 to 60 mins"/>
    <x v="2"/>
    <s v="Happy"/>
    <x v="1"/>
    <n v="37"/>
    <x v="2"/>
  </r>
  <r>
    <x v="187"/>
    <x v="8"/>
    <n v="134"/>
    <x v="2"/>
    <x v="60"/>
    <n v="160"/>
    <n v="4.5"/>
    <n v="2023"/>
    <x v="2"/>
    <s v="More than 2 hours"/>
    <x v="0"/>
    <s v="Happy"/>
    <x v="0"/>
    <n v="31"/>
    <x v="2"/>
  </r>
  <r>
    <x v="188"/>
    <x v="13"/>
    <n v="80"/>
    <x v="4"/>
    <x v="60"/>
    <n v="45"/>
    <n v="3"/>
    <n v="2023"/>
    <x v="2"/>
    <s v="1 to 2 hours"/>
    <x v="1"/>
    <b v="0"/>
    <x v="0"/>
    <n v="41"/>
    <x v="1"/>
  </r>
  <r>
    <x v="189"/>
    <x v="14"/>
    <n v="103"/>
    <x v="1"/>
    <x v="61"/>
    <n v="117"/>
    <n v="3"/>
    <n v="2023"/>
    <x v="3"/>
    <s v="1 to 2 hours"/>
    <x v="1"/>
    <b v="0"/>
    <x v="1"/>
    <n v="42"/>
    <x v="2"/>
  </r>
  <r>
    <x v="190"/>
    <x v="10"/>
    <n v="20"/>
    <x v="0"/>
    <x v="62"/>
    <n v="22"/>
    <n v="1.6"/>
    <n v="2023"/>
    <x v="4"/>
    <s v="10 to 30 mins"/>
    <x v="3"/>
    <b v="0"/>
    <x v="0"/>
    <n v="23"/>
    <x v="1"/>
  </r>
  <r>
    <x v="191"/>
    <x v="14"/>
    <n v="75"/>
    <x v="4"/>
    <x v="62"/>
    <n v="195"/>
    <n v="3"/>
    <n v="2023"/>
    <x v="4"/>
    <s v="1 to 2 hours"/>
    <x v="1"/>
    <b v="0"/>
    <x v="1"/>
    <n v="42"/>
    <x v="2"/>
  </r>
  <r>
    <x v="192"/>
    <x v="7"/>
    <n v="80"/>
    <x v="2"/>
    <x v="62"/>
    <n v="168"/>
    <n v="3.7"/>
    <n v="2023"/>
    <x v="4"/>
    <s v="1 to 2 hours"/>
    <x v="2"/>
    <s v="Happy"/>
    <x v="1"/>
    <n v="37"/>
    <x v="2"/>
  </r>
  <r>
    <x v="193"/>
    <x v="5"/>
    <n v="85"/>
    <x v="3"/>
    <x v="63"/>
    <n v="46"/>
    <n v="4.9000000000000004"/>
    <n v="2023"/>
    <x v="5"/>
    <s v="1 to 2 hours"/>
    <x v="0"/>
    <s v="Happy"/>
    <x v="1"/>
    <n v="22"/>
    <x v="2"/>
  </r>
  <r>
    <x v="194"/>
    <x v="1"/>
    <n v="155"/>
    <x v="0"/>
    <x v="63"/>
    <n v="164"/>
    <n v="3.4"/>
    <n v="2023"/>
    <x v="5"/>
    <s v="More than 2 hours"/>
    <x v="1"/>
    <b v="0"/>
    <x v="0"/>
    <n v="36"/>
    <x v="0"/>
  </r>
  <r>
    <x v="195"/>
    <x v="5"/>
    <n v="63"/>
    <x v="3"/>
    <x v="63"/>
    <n v="48"/>
    <n v="5"/>
    <n v="2023"/>
    <x v="5"/>
    <s v="1 to 2 hours"/>
    <x v="0"/>
    <s v="Happy"/>
    <x v="1"/>
    <n v="22"/>
    <x v="2"/>
  </r>
  <r>
    <x v="196"/>
    <x v="2"/>
    <n v="105"/>
    <x v="1"/>
    <x v="63"/>
    <n v="96"/>
    <n v="5"/>
    <n v="2023"/>
    <x v="5"/>
    <s v="1 to 2 hours"/>
    <x v="0"/>
    <s v="Happy"/>
    <x v="0"/>
    <n v="37"/>
    <x v="1"/>
  </r>
  <r>
    <x v="197"/>
    <x v="5"/>
    <n v="71"/>
    <x v="3"/>
    <x v="63"/>
    <n v="105"/>
    <n v="4"/>
    <n v="2023"/>
    <x v="5"/>
    <s v="1 to 2 hours"/>
    <x v="2"/>
    <s v="Happy"/>
    <x v="1"/>
    <n v="22"/>
    <x v="2"/>
  </r>
  <r>
    <x v="198"/>
    <x v="1"/>
    <n v="100"/>
    <x v="3"/>
    <x v="64"/>
    <n v="44"/>
    <n v="3.6"/>
    <n v="2023"/>
    <x v="6"/>
    <s v="1 to 2 hours"/>
    <x v="2"/>
    <s v="Happy"/>
    <x v="0"/>
    <n v="36"/>
    <x v="0"/>
  </r>
  <r>
    <x v="199"/>
    <x v="0"/>
    <n v="93"/>
    <x v="2"/>
    <x v="64"/>
    <n v="132"/>
    <n v="3.7"/>
    <n v="2023"/>
    <x v="6"/>
    <s v="1 to 2 hours"/>
    <x v="2"/>
    <s v="Happy"/>
    <x v="0"/>
    <n v="26"/>
    <x v="0"/>
  </r>
  <r>
    <x v="200"/>
    <x v="2"/>
    <n v="84"/>
    <x v="0"/>
    <x v="64"/>
    <n v="54"/>
    <n v="4.2"/>
    <n v="2023"/>
    <x v="6"/>
    <s v="1 to 2 hours"/>
    <x v="2"/>
    <s v="Happy"/>
    <x v="0"/>
    <n v="37"/>
    <x v="1"/>
  </r>
  <r>
    <x v="201"/>
    <x v="13"/>
    <n v="56"/>
    <x v="4"/>
    <x v="64"/>
    <n v="129"/>
    <n v="2.1"/>
    <n v="2023"/>
    <x v="6"/>
    <s v="30 to 60 mins"/>
    <x v="3"/>
    <b v="0"/>
    <x v="0"/>
    <n v="41"/>
    <x v="1"/>
  </r>
  <r>
    <x v="202"/>
    <x v="13"/>
    <n v="63"/>
    <x v="3"/>
    <x v="64"/>
    <n v="42"/>
    <n v="4"/>
    <n v="2023"/>
    <x v="6"/>
    <s v="1 to 2 hours"/>
    <x v="2"/>
    <s v="Happy"/>
    <x v="0"/>
    <n v="41"/>
    <x v="1"/>
  </r>
  <r>
    <x v="203"/>
    <x v="9"/>
    <n v="83"/>
    <x v="3"/>
    <x v="64"/>
    <n v="42"/>
    <n v="4.2"/>
    <n v="2023"/>
    <x v="6"/>
    <s v="1 to 2 hours"/>
    <x v="2"/>
    <s v="Happy"/>
    <x v="1"/>
    <n v="25"/>
    <x v="1"/>
  </r>
  <r>
    <x v="204"/>
    <x v="7"/>
    <n v="134"/>
    <x v="0"/>
    <x v="64"/>
    <n v="180"/>
    <n v="3.1"/>
    <n v="2023"/>
    <x v="6"/>
    <s v="More than 2 hours"/>
    <x v="1"/>
    <b v="0"/>
    <x v="1"/>
    <n v="37"/>
    <x v="2"/>
  </r>
  <r>
    <x v="205"/>
    <x v="4"/>
    <n v="73"/>
    <x v="3"/>
    <x v="65"/>
    <n v="34"/>
    <n v="4.8"/>
    <n v="2023"/>
    <x v="0"/>
    <s v="1 to 2 hours"/>
    <x v="0"/>
    <s v="Happy"/>
    <x v="1"/>
    <n v="30"/>
    <x v="0"/>
  </r>
  <r>
    <x v="206"/>
    <x v="14"/>
    <n v="6"/>
    <x v="4"/>
    <x v="65"/>
    <n v="29"/>
    <n v="4.7"/>
    <n v="2023"/>
    <x v="0"/>
    <s v="Under 10 mins"/>
    <x v="0"/>
    <s v="Happy"/>
    <x v="1"/>
    <n v="42"/>
    <x v="2"/>
  </r>
  <r>
    <x v="207"/>
    <x v="12"/>
    <n v="46"/>
    <x v="1"/>
    <x v="65"/>
    <n v="165"/>
    <n v="3.3"/>
    <n v="2023"/>
    <x v="0"/>
    <s v="30 to 60 mins"/>
    <x v="1"/>
    <b v="0"/>
    <x v="1"/>
    <n v="28"/>
    <x v="0"/>
  </r>
  <r>
    <x v="208"/>
    <x v="14"/>
    <n v="121"/>
    <x v="3"/>
    <x v="66"/>
    <n v="32"/>
    <n v="3.7"/>
    <n v="2023"/>
    <x v="1"/>
    <s v="More than 2 hours"/>
    <x v="2"/>
    <s v="Happy"/>
    <x v="1"/>
    <n v="42"/>
    <x v="2"/>
  </r>
  <r>
    <x v="209"/>
    <x v="13"/>
    <n v="61"/>
    <x v="2"/>
    <x v="66"/>
    <n v="160"/>
    <n v="4.9000000000000004"/>
    <n v="2023"/>
    <x v="1"/>
    <s v="1 to 2 hours"/>
    <x v="0"/>
    <s v="Happy"/>
    <x v="0"/>
    <n v="41"/>
    <x v="1"/>
  </r>
  <r>
    <x v="210"/>
    <x v="7"/>
    <n v="144"/>
    <x v="0"/>
    <x v="66"/>
    <n v="140"/>
    <n v="3.5"/>
    <n v="2023"/>
    <x v="1"/>
    <s v="More than 2 hours"/>
    <x v="2"/>
    <s v="Happy"/>
    <x v="1"/>
    <n v="37"/>
    <x v="2"/>
  </r>
  <r>
    <x v="211"/>
    <x v="12"/>
    <n v="145"/>
    <x v="0"/>
    <x v="66"/>
    <n v="136"/>
    <n v="4.4000000000000004"/>
    <n v="2023"/>
    <x v="1"/>
    <s v="More than 2 hours"/>
    <x v="2"/>
    <s v="Happy"/>
    <x v="1"/>
    <n v="28"/>
    <x v="0"/>
  </r>
  <r>
    <x v="212"/>
    <x v="2"/>
    <n v="85"/>
    <x v="4"/>
    <x v="66"/>
    <n v="66"/>
    <n v="2.8"/>
    <n v="2023"/>
    <x v="1"/>
    <s v="1 to 2 hours"/>
    <x v="1"/>
    <b v="0"/>
    <x v="0"/>
    <n v="37"/>
    <x v="1"/>
  </r>
  <r>
    <x v="213"/>
    <x v="12"/>
    <n v="13"/>
    <x v="2"/>
    <x v="67"/>
    <n v="63"/>
    <n v="4.0999999999999996"/>
    <n v="2023"/>
    <x v="2"/>
    <s v="10 to 30 mins"/>
    <x v="2"/>
    <s v="Happy"/>
    <x v="1"/>
    <n v="28"/>
    <x v="0"/>
  </r>
  <r>
    <x v="214"/>
    <x v="0"/>
    <n v="142"/>
    <x v="3"/>
    <x v="67"/>
    <n v="44"/>
    <n v="3.5"/>
    <n v="2023"/>
    <x v="2"/>
    <s v="More than 2 hours"/>
    <x v="2"/>
    <s v="Happy"/>
    <x v="0"/>
    <n v="26"/>
    <x v="0"/>
  </r>
  <r>
    <x v="215"/>
    <x v="7"/>
    <n v="28"/>
    <x v="1"/>
    <x v="67"/>
    <n v="78"/>
    <n v="3.8"/>
    <n v="2023"/>
    <x v="2"/>
    <s v="10 to 30 mins"/>
    <x v="2"/>
    <s v="Happy"/>
    <x v="1"/>
    <n v="37"/>
    <x v="2"/>
  </r>
  <r>
    <x v="216"/>
    <x v="7"/>
    <n v="119"/>
    <x v="3"/>
    <x v="67"/>
    <n v="20"/>
    <n v="3.9"/>
    <n v="2023"/>
    <x v="2"/>
    <s v="1 to 2 hours"/>
    <x v="2"/>
    <s v="Happy"/>
    <x v="1"/>
    <n v="37"/>
    <x v="2"/>
  </r>
  <r>
    <x v="217"/>
    <x v="14"/>
    <n v="65"/>
    <x v="4"/>
    <x v="67"/>
    <n v="84"/>
    <n v="2.5"/>
    <n v="2023"/>
    <x v="2"/>
    <s v="1 to 2 hours"/>
    <x v="1"/>
    <b v="0"/>
    <x v="1"/>
    <n v="42"/>
    <x v="2"/>
  </r>
  <r>
    <x v="218"/>
    <x v="8"/>
    <n v="68"/>
    <x v="4"/>
    <x v="67"/>
    <n v="32"/>
    <n v="4.9000000000000004"/>
    <n v="2023"/>
    <x v="2"/>
    <s v="1 to 2 hours"/>
    <x v="0"/>
    <s v="Happy"/>
    <x v="0"/>
    <n v="31"/>
    <x v="2"/>
  </r>
  <r>
    <x v="219"/>
    <x v="9"/>
    <n v="72"/>
    <x v="1"/>
    <x v="67"/>
    <n v="132"/>
    <n v="3.4"/>
    <n v="2023"/>
    <x v="2"/>
    <s v="1 to 2 hours"/>
    <x v="1"/>
    <b v="0"/>
    <x v="1"/>
    <n v="25"/>
    <x v="1"/>
  </r>
  <r>
    <x v="220"/>
    <x v="9"/>
    <n v="63"/>
    <x v="0"/>
    <x v="67"/>
    <n v="105"/>
    <n v="3.3"/>
    <n v="2023"/>
    <x v="2"/>
    <s v="1 to 2 hours"/>
    <x v="1"/>
    <b v="0"/>
    <x v="1"/>
    <n v="25"/>
    <x v="1"/>
  </r>
  <r>
    <x v="221"/>
    <x v="1"/>
    <n v="139"/>
    <x v="3"/>
    <x v="68"/>
    <n v="48"/>
    <n v="4.7"/>
    <n v="2023"/>
    <x v="3"/>
    <s v="More than 2 hours"/>
    <x v="0"/>
    <s v="Happy"/>
    <x v="0"/>
    <n v="36"/>
    <x v="0"/>
  </r>
  <r>
    <x v="222"/>
    <x v="7"/>
    <n v="59"/>
    <x v="3"/>
    <x v="68"/>
    <n v="64"/>
    <n v="4"/>
    <n v="2023"/>
    <x v="3"/>
    <s v="30 to 60 mins"/>
    <x v="2"/>
    <s v="Happy"/>
    <x v="1"/>
    <n v="37"/>
    <x v="2"/>
  </r>
  <r>
    <x v="223"/>
    <x v="10"/>
    <n v="138"/>
    <x v="0"/>
    <x v="68"/>
    <n v="44"/>
    <n v="3.8"/>
    <n v="2023"/>
    <x v="3"/>
    <s v="More than 2 hours"/>
    <x v="2"/>
    <s v="Happy"/>
    <x v="0"/>
    <n v="23"/>
    <x v="1"/>
  </r>
  <r>
    <x v="224"/>
    <x v="1"/>
    <n v="47"/>
    <x v="1"/>
    <x v="68"/>
    <n v="120"/>
    <n v="3.1"/>
    <n v="2023"/>
    <x v="3"/>
    <s v="30 to 60 mins"/>
    <x v="1"/>
    <b v="0"/>
    <x v="0"/>
    <n v="36"/>
    <x v="0"/>
  </r>
  <r>
    <x v="225"/>
    <x v="10"/>
    <n v="74"/>
    <x v="1"/>
    <x v="68"/>
    <n v="144"/>
    <n v="4.8"/>
    <n v="2023"/>
    <x v="3"/>
    <s v="1 to 2 hours"/>
    <x v="0"/>
    <s v="Happy"/>
    <x v="0"/>
    <n v="23"/>
    <x v="1"/>
  </r>
  <r>
    <x v="226"/>
    <x v="9"/>
    <n v="65"/>
    <x v="1"/>
    <x v="68"/>
    <n v="87"/>
    <n v="2.7"/>
    <n v="2023"/>
    <x v="3"/>
    <s v="1 to 2 hours"/>
    <x v="1"/>
    <b v="0"/>
    <x v="1"/>
    <n v="25"/>
    <x v="1"/>
  </r>
  <r>
    <x v="227"/>
    <x v="4"/>
    <n v="123"/>
    <x v="4"/>
    <x v="68"/>
    <n v="36"/>
    <n v="3.6"/>
    <n v="2023"/>
    <x v="3"/>
    <s v="More than 2 hours"/>
    <x v="2"/>
    <s v="Happy"/>
    <x v="1"/>
    <n v="30"/>
    <x v="0"/>
  </r>
  <r>
    <x v="228"/>
    <x v="9"/>
    <n v="90"/>
    <x v="3"/>
    <x v="69"/>
    <n v="72"/>
    <n v="4.7"/>
    <n v="2023"/>
    <x v="4"/>
    <s v="1 to 2 hours"/>
    <x v="0"/>
    <s v="Happy"/>
    <x v="1"/>
    <n v="25"/>
    <x v="1"/>
  </r>
  <r>
    <x v="229"/>
    <x v="13"/>
    <n v="127"/>
    <x v="0"/>
    <x v="69"/>
    <n v="150"/>
    <n v="4.4000000000000004"/>
    <n v="2023"/>
    <x v="4"/>
    <s v="More than 2 hours"/>
    <x v="2"/>
    <s v="Happy"/>
    <x v="0"/>
    <n v="41"/>
    <x v="1"/>
  </r>
  <r>
    <x v="230"/>
    <x v="3"/>
    <n v="60"/>
    <x v="1"/>
    <x v="69"/>
    <n v="68"/>
    <n v="4.3"/>
    <n v="2023"/>
    <x v="4"/>
    <s v="30 to 60 mins"/>
    <x v="2"/>
    <s v="Happy"/>
    <x v="1"/>
    <n v="38"/>
    <x v="1"/>
  </r>
  <r>
    <x v="231"/>
    <x v="1"/>
    <n v="94"/>
    <x v="0"/>
    <x v="69"/>
    <n v="99"/>
    <n v="4.9000000000000004"/>
    <n v="2023"/>
    <x v="4"/>
    <s v="1 to 2 hours"/>
    <x v="0"/>
    <s v="Happy"/>
    <x v="0"/>
    <n v="36"/>
    <x v="0"/>
  </r>
  <r>
    <x v="232"/>
    <x v="4"/>
    <n v="54"/>
    <x v="1"/>
    <x v="69"/>
    <n v="26"/>
    <n v="4.8"/>
    <n v="2023"/>
    <x v="4"/>
    <s v="30 to 60 mins"/>
    <x v="0"/>
    <s v="Happy"/>
    <x v="1"/>
    <n v="30"/>
    <x v="0"/>
  </r>
  <r>
    <x v="233"/>
    <x v="9"/>
    <n v="104"/>
    <x v="1"/>
    <x v="69"/>
    <n v="88"/>
    <n v="3.2"/>
    <n v="2023"/>
    <x v="4"/>
    <s v="1 to 2 hours"/>
    <x v="1"/>
    <b v="0"/>
    <x v="1"/>
    <n v="25"/>
    <x v="1"/>
  </r>
  <r>
    <x v="234"/>
    <x v="5"/>
    <n v="100"/>
    <x v="1"/>
    <x v="69"/>
    <n v="124"/>
    <n v="3.4"/>
    <n v="2023"/>
    <x v="4"/>
    <s v="1 to 2 hours"/>
    <x v="1"/>
    <b v="0"/>
    <x v="1"/>
    <n v="22"/>
    <x v="2"/>
  </r>
  <r>
    <x v="235"/>
    <x v="10"/>
    <n v="84"/>
    <x v="1"/>
    <x v="69"/>
    <n v="72"/>
    <n v="3.5"/>
    <n v="2023"/>
    <x v="4"/>
    <s v="1 to 2 hours"/>
    <x v="2"/>
    <s v="Happy"/>
    <x v="0"/>
    <n v="23"/>
    <x v="1"/>
  </r>
  <r>
    <x v="236"/>
    <x v="0"/>
    <n v="92"/>
    <x v="2"/>
    <x v="70"/>
    <n v="125"/>
    <n v="4.9000000000000004"/>
    <n v="2023"/>
    <x v="5"/>
    <s v="1 to 2 hours"/>
    <x v="0"/>
    <s v="Happy"/>
    <x v="0"/>
    <n v="26"/>
    <x v="0"/>
  </r>
  <r>
    <x v="237"/>
    <x v="6"/>
    <n v="64"/>
    <x v="0"/>
    <x v="70"/>
    <n v="22"/>
    <n v="4.0999999999999996"/>
    <n v="2023"/>
    <x v="5"/>
    <s v="1 to 2 hours"/>
    <x v="2"/>
    <s v="Happy"/>
    <x v="1"/>
    <n v="30"/>
    <x v="2"/>
  </r>
  <r>
    <x v="238"/>
    <x v="2"/>
    <n v="89"/>
    <x v="3"/>
    <x v="71"/>
    <n v="70"/>
    <n v="4.9000000000000004"/>
    <n v="2023"/>
    <x v="6"/>
    <s v="1 to 2 hours"/>
    <x v="0"/>
    <s v="Happy"/>
    <x v="0"/>
    <n v="37"/>
    <x v="1"/>
  </r>
  <r>
    <x v="239"/>
    <x v="11"/>
    <n v="40"/>
    <x v="1"/>
    <x v="71"/>
    <n v="24"/>
    <n v="4.3"/>
    <n v="2023"/>
    <x v="6"/>
    <s v="30 to 60 mins"/>
    <x v="2"/>
    <s v="Happy"/>
    <x v="1"/>
    <n v="43"/>
    <x v="2"/>
  </r>
  <r>
    <x v="240"/>
    <x v="7"/>
    <n v="75"/>
    <x v="4"/>
    <x v="71"/>
    <n v="32"/>
    <n v="4.0999999999999996"/>
    <n v="2023"/>
    <x v="6"/>
    <s v="1 to 2 hours"/>
    <x v="2"/>
    <s v="Happy"/>
    <x v="1"/>
    <n v="37"/>
    <x v="2"/>
  </r>
  <r>
    <x v="241"/>
    <x v="13"/>
    <n v="106"/>
    <x v="2"/>
    <x v="71"/>
    <n v="112"/>
    <n v="4.4000000000000004"/>
    <n v="2023"/>
    <x v="6"/>
    <s v="1 to 2 hours"/>
    <x v="2"/>
    <s v="Happy"/>
    <x v="0"/>
    <n v="41"/>
    <x v="1"/>
  </r>
  <r>
    <x v="242"/>
    <x v="6"/>
    <n v="58"/>
    <x v="1"/>
    <x v="72"/>
    <n v="43"/>
    <n v="4.5"/>
    <n v="2023"/>
    <x v="0"/>
    <s v="30 to 60 mins"/>
    <x v="0"/>
    <s v="Happy"/>
    <x v="1"/>
    <n v="30"/>
    <x v="2"/>
  </r>
  <r>
    <x v="243"/>
    <x v="10"/>
    <n v="84"/>
    <x v="2"/>
    <x v="72"/>
    <n v="22"/>
    <n v="3.5"/>
    <n v="2023"/>
    <x v="0"/>
    <s v="1 to 2 hours"/>
    <x v="2"/>
    <s v="Happy"/>
    <x v="0"/>
    <n v="23"/>
    <x v="1"/>
  </r>
  <r>
    <x v="244"/>
    <x v="9"/>
    <n v="140"/>
    <x v="2"/>
    <x v="72"/>
    <n v="93"/>
    <n v="4.4000000000000004"/>
    <n v="2023"/>
    <x v="0"/>
    <s v="More than 2 hours"/>
    <x v="2"/>
    <s v="Happy"/>
    <x v="1"/>
    <n v="25"/>
    <x v="1"/>
  </r>
  <r>
    <x v="245"/>
    <x v="6"/>
    <n v="67"/>
    <x v="2"/>
    <x v="72"/>
    <n v="45"/>
    <n v="3.5"/>
    <n v="2023"/>
    <x v="0"/>
    <s v="1 to 2 hours"/>
    <x v="2"/>
    <s v="Happy"/>
    <x v="1"/>
    <n v="30"/>
    <x v="2"/>
  </r>
  <r>
    <x v="246"/>
    <x v="1"/>
    <n v="126"/>
    <x v="2"/>
    <x v="73"/>
    <n v="96"/>
    <n v="3.8"/>
    <n v="2023"/>
    <x v="1"/>
    <s v="More than 2 hours"/>
    <x v="2"/>
    <s v="Happy"/>
    <x v="0"/>
    <n v="36"/>
    <x v="0"/>
  </r>
  <r>
    <x v="247"/>
    <x v="1"/>
    <n v="89"/>
    <x v="1"/>
    <x v="73"/>
    <n v="96"/>
    <n v="3.3"/>
    <n v="2023"/>
    <x v="1"/>
    <s v="1 to 2 hours"/>
    <x v="1"/>
    <b v="0"/>
    <x v="0"/>
    <n v="36"/>
    <x v="0"/>
  </r>
  <r>
    <x v="248"/>
    <x v="2"/>
    <n v="56"/>
    <x v="0"/>
    <x v="73"/>
    <n v="31"/>
    <n v="4.4000000000000004"/>
    <n v="2023"/>
    <x v="1"/>
    <s v="30 to 60 mins"/>
    <x v="2"/>
    <s v="Happy"/>
    <x v="0"/>
    <n v="37"/>
    <x v="1"/>
  </r>
  <r>
    <x v="249"/>
    <x v="4"/>
    <n v="48"/>
    <x v="1"/>
    <x v="73"/>
    <n v="200"/>
    <n v="3.9"/>
    <n v="2023"/>
    <x v="1"/>
    <s v="30 to 60 mins"/>
    <x v="2"/>
    <s v="Happy"/>
    <x v="1"/>
    <n v="30"/>
    <x v="0"/>
  </r>
  <r>
    <x v="250"/>
    <x v="1"/>
    <n v="55"/>
    <x v="0"/>
    <x v="73"/>
    <n v="99"/>
    <n v="2.7"/>
    <n v="2023"/>
    <x v="1"/>
    <s v="30 to 60 mins"/>
    <x v="1"/>
    <b v="0"/>
    <x v="0"/>
    <n v="36"/>
    <x v="0"/>
  </r>
  <r>
    <x v="251"/>
    <x v="3"/>
    <n v="88"/>
    <x v="4"/>
    <x v="73"/>
    <n v="144"/>
    <n v="2.9"/>
    <n v="2023"/>
    <x v="1"/>
    <s v="1 to 2 hours"/>
    <x v="1"/>
    <b v="0"/>
    <x v="1"/>
    <n v="38"/>
    <x v="1"/>
  </r>
  <r>
    <x v="252"/>
    <x v="2"/>
    <n v="102"/>
    <x v="2"/>
    <x v="74"/>
    <n v="81"/>
    <n v="4"/>
    <n v="2023"/>
    <x v="2"/>
    <s v="1 to 2 hours"/>
    <x v="2"/>
    <s v="Happy"/>
    <x v="0"/>
    <n v="37"/>
    <x v="1"/>
  </r>
  <r>
    <x v="253"/>
    <x v="3"/>
    <n v="155"/>
    <x v="4"/>
    <x v="74"/>
    <n v="70"/>
    <n v="4.4000000000000004"/>
    <n v="2023"/>
    <x v="2"/>
    <s v="More than 2 hours"/>
    <x v="2"/>
    <s v="Happy"/>
    <x v="1"/>
    <n v="38"/>
    <x v="1"/>
  </r>
  <r>
    <x v="254"/>
    <x v="1"/>
    <n v="63"/>
    <x v="4"/>
    <x v="74"/>
    <n v="148"/>
    <n v="5"/>
    <n v="2023"/>
    <x v="2"/>
    <s v="1 to 2 hours"/>
    <x v="0"/>
    <s v="Happy"/>
    <x v="0"/>
    <n v="36"/>
    <x v="0"/>
  </r>
  <r>
    <x v="255"/>
    <x v="5"/>
    <n v="59"/>
    <x v="2"/>
    <x v="74"/>
    <n v="215"/>
    <n v="4.0999999999999996"/>
    <n v="2023"/>
    <x v="2"/>
    <s v="30 to 60 mins"/>
    <x v="2"/>
    <s v="Happy"/>
    <x v="1"/>
    <n v="22"/>
    <x v="2"/>
  </r>
  <r>
    <x v="256"/>
    <x v="5"/>
    <n v="144"/>
    <x v="1"/>
    <x v="74"/>
    <n v="124"/>
    <n v="4.4000000000000004"/>
    <n v="2023"/>
    <x v="2"/>
    <s v="More than 2 hours"/>
    <x v="2"/>
    <s v="Happy"/>
    <x v="1"/>
    <n v="22"/>
    <x v="2"/>
  </r>
  <r>
    <x v="257"/>
    <x v="10"/>
    <n v="113"/>
    <x v="3"/>
    <x v="74"/>
    <n v="168"/>
    <n v="4.0999999999999996"/>
    <n v="2023"/>
    <x v="2"/>
    <s v="1 to 2 hours"/>
    <x v="2"/>
    <s v="Happy"/>
    <x v="0"/>
    <n v="23"/>
    <x v="1"/>
  </r>
  <r>
    <x v="258"/>
    <x v="12"/>
    <n v="154"/>
    <x v="0"/>
    <x v="74"/>
    <n v="90"/>
    <n v="4.5"/>
    <n v="2023"/>
    <x v="2"/>
    <s v="More than 2 hours"/>
    <x v="0"/>
    <s v="Happy"/>
    <x v="1"/>
    <n v="28"/>
    <x v="0"/>
  </r>
  <r>
    <x v="259"/>
    <x v="12"/>
    <n v="58"/>
    <x v="2"/>
    <x v="75"/>
    <n v="176"/>
    <n v="4.2"/>
    <n v="2023"/>
    <x v="3"/>
    <s v="30 to 60 mins"/>
    <x v="2"/>
    <s v="Happy"/>
    <x v="1"/>
    <n v="28"/>
    <x v="0"/>
  </r>
  <r>
    <x v="260"/>
    <x v="4"/>
    <n v="63"/>
    <x v="4"/>
    <x v="75"/>
    <n v="87"/>
    <n v="4.5999999999999996"/>
    <n v="2023"/>
    <x v="3"/>
    <s v="1 to 2 hours"/>
    <x v="0"/>
    <s v="Happy"/>
    <x v="1"/>
    <n v="30"/>
    <x v="0"/>
  </r>
  <r>
    <x v="261"/>
    <x v="9"/>
    <n v="59"/>
    <x v="1"/>
    <x v="75"/>
    <n v="128"/>
    <n v="4.5"/>
    <n v="2023"/>
    <x v="3"/>
    <s v="30 to 60 mins"/>
    <x v="0"/>
    <s v="Happy"/>
    <x v="1"/>
    <n v="25"/>
    <x v="1"/>
  </r>
  <r>
    <x v="262"/>
    <x v="14"/>
    <n v="129"/>
    <x v="4"/>
    <x v="75"/>
    <n v="120"/>
    <n v="4.0999999999999996"/>
    <n v="2023"/>
    <x v="3"/>
    <s v="More than 2 hours"/>
    <x v="2"/>
    <s v="Happy"/>
    <x v="1"/>
    <n v="42"/>
    <x v="2"/>
  </r>
  <r>
    <x v="263"/>
    <x v="8"/>
    <n v="101"/>
    <x v="3"/>
    <x v="75"/>
    <n v="130"/>
    <n v="4.8"/>
    <n v="2023"/>
    <x v="3"/>
    <s v="1 to 2 hours"/>
    <x v="0"/>
    <s v="Happy"/>
    <x v="0"/>
    <n v="31"/>
    <x v="2"/>
  </r>
  <r>
    <x v="264"/>
    <x v="11"/>
    <n v="154"/>
    <x v="1"/>
    <x v="75"/>
    <n v="172"/>
    <n v="3.1"/>
    <n v="2023"/>
    <x v="3"/>
    <s v="More than 2 hours"/>
    <x v="1"/>
    <b v="0"/>
    <x v="1"/>
    <n v="43"/>
    <x v="2"/>
  </r>
  <r>
    <x v="265"/>
    <x v="6"/>
    <n v="131"/>
    <x v="1"/>
    <x v="75"/>
    <n v="58"/>
    <n v="4.9000000000000004"/>
    <n v="2023"/>
    <x v="3"/>
    <s v="More than 2 hours"/>
    <x v="0"/>
    <s v="Happy"/>
    <x v="1"/>
    <n v="30"/>
    <x v="2"/>
  </r>
  <r>
    <x v="266"/>
    <x v="5"/>
    <n v="111"/>
    <x v="3"/>
    <x v="76"/>
    <n v="86"/>
    <n v="4.0999999999999996"/>
    <n v="2023"/>
    <x v="4"/>
    <s v="1 to 2 hours"/>
    <x v="2"/>
    <s v="Happy"/>
    <x v="1"/>
    <n v="22"/>
    <x v="2"/>
  </r>
  <r>
    <x v="267"/>
    <x v="12"/>
    <n v="142"/>
    <x v="3"/>
    <x v="77"/>
    <n v="31"/>
    <n v="4.4000000000000004"/>
    <n v="2023"/>
    <x v="5"/>
    <s v="More than 2 hours"/>
    <x v="2"/>
    <s v="Happy"/>
    <x v="1"/>
    <n v="28"/>
    <x v="0"/>
  </r>
  <r>
    <x v="268"/>
    <x v="2"/>
    <n v="93"/>
    <x v="4"/>
    <x v="77"/>
    <n v="72"/>
    <n v="4.4000000000000004"/>
    <n v="2023"/>
    <x v="5"/>
    <s v="1 to 2 hours"/>
    <x v="2"/>
    <s v="Happy"/>
    <x v="0"/>
    <n v="37"/>
    <x v="1"/>
  </r>
  <r>
    <x v="269"/>
    <x v="12"/>
    <n v="125"/>
    <x v="0"/>
    <x v="78"/>
    <n v="27"/>
    <n v="3"/>
    <n v="2023"/>
    <x v="6"/>
    <s v="More than 2 hours"/>
    <x v="1"/>
    <b v="0"/>
    <x v="1"/>
    <n v="28"/>
    <x v="0"/>
  </r>
  <r>
    <x v="270"/>
    <x v="14"/>
    <n v="76"/>
    <x v="1"/>
    <x v="78"/>
    <n v="110"/>
    <n v="4.4000000000000004"/>
    <n v="2023"/>
    <x v="6"/>
    <s v="1 to 2 hours"/>
    <x v="2"/>
    <s v="Happy"/>
    <x v="1"/>
    <n v="42"/>
    <x v="2"/>
  </r>
  <r>
    <x v="271"/>
    <x v="10"/>
    <n v="69"/>
    <x v="4"/>
    <x v="78"/>
    <n v="126"/>
    <n v="3.7"/>
    <n v="2023"/>
    <x v="6"/>
    <s v="1 to 2 hours"/>
    <x v="2"/>
    <s v="Happy"/>
    <x v="0"/>
    <n v="23"/>
    <x v="1"/>
  </r>
  <r>
    <x v="272"/>
    <x v="9"/>
    <n v="149"/>
    <x v="0"/>
    <x v="78"/>
    <n v="60"/>
    <n v="3.9"/>
    <n v="2023"/>
    <x v="6"/>
    <s v="More than 2 hours"/>
    <x v="2"/>
    <s v="Happy"/>
    <x v="1"/>
    <n v="25"/>
    <x v="1"/>
  </r>
  <r>
    <x v="273"/>
    <x v="12"/>
    <n v="57"/>
    <x v="4"/>
    <x v="78"/>
    <n v="35"/>
    <n v="3.5"/>
    <n v="2023"/>
    <x v="6"/>
    <s v="30 to 60 mins"/>
    <x v="2"/>
    <s v="Happy"/>
    <x v="1"/>
    <n v="28"/>
    <x v="0"/>
  </r>
  <r>
    <x v="274"/>
    <x v="1"/>
    <n v="113"/>
    <x v="1"/>
    <x v="78"/>
    <n v="81"/>
    <n v="3.5"/>
    <n v="2023"/>
    <x v="6"/>
    <s v="1 to 2 hours"/>
    <x v="2"/>
    <s v="Happy"/>
    <x v="0"/>
    <n v="36"/>
    <x v="0"/>
  </r>
  <r>
    <x v="275"/>
    <x v="0"/>
    <n v="160"/>
    <x v="0"/>
    <x v="78"/>
    <n v="116"/>
    <n v="3.4"/>
    <n v="2023"/>
    <x v="6"/>
    <s v="More than 2 hours"/>
    <x v="1"/>
    <b v="0"/>
    <x v="0"/>
    <n v="26"/>
    <x v="0"/>
  </r>
  <r>
    <x v="276"/>
    <x v="4"/>
    <n v="158"/>
    <x v="2"/>
    <x v="78"/>
    <n v="60"/>
    <n v="4.5"/>
    <n v="2023"/>
    <x v="6"/>
    <s v="More than 2 hours"/>
    <x v="0"/>
    <s v="Happy"/>
    <x v="1"/>
    <n v="30"/>
    <x v="0"/>
  </r>
  <r>
    <x v="277"/>
    <x v="10"/>
    <n v="77"/>
    <x v="0"/>
    <x v="79"/>
    <n v="130"/>
    <n v="4.2"/>
    <n v="2023"/>
    <x v="0"/>
    <s v="1 to 2 hours"/>
    <x v="2"/>
    <s v="Happy"/>
    <x v="0"/>
    <n v="23"/>
    <x v="1"/>
  </r>
  <r>
    <x v="278"/>
    <x v="7"/>
    <n v="118"/>
    <x v="3"/>
    <x v="79"/>
    <n v="99"/>
    <n v="5"/>
    <n v="2023"/>
    <x v="0"/>
    <s v="1 to 2 hours"/>
    <x v="0"/>
    <s v="Happy"/>
    <x v="1"/>
    <n v="37"/>
    <x v="2"/>
  </r>
  <r>
    <x v="279"/>
    <x v="11"/>
    <n v="75"/>
    <x v="1"/>
    <x v="79"/>
    <n v="135"/>
    <n v="4.7"/>
    <n v="2023"/>
    <x v="0"/>
    <s v="1 to 2 hours"/>
    <x v="0"/>
    <s v="Happy"/>
    <x v="1"/>
    <n v="43"/>
    <x v="2"/>
  </r>
  <r>
    <x v="280"/>
    <x v="1"/>
    <n v="103"/>
    <x v="0"/>
    <x v="79"/>
    <n v="42"/>
    <n v="2.8"/>
    <n v="2023"/>
    <x v="0"/>
    <s v="1 to 2 hours"/>
    <x v="1"/>
    <b v="0"/>
    <x v="0"/>
    <n v="36"/>
    <x v="0"/>
  </r>
  <r>
    <x v="281"/>
    <x v="10"/>
    <n v="116"/>
    <x v="3"/>
    <x v="80"/>
    <n v="63"/>
    <n v="3.4"/>
    <n v="2023"/>
    <x v="1"/>
    <s v="1 to 2 hours"/>
    <x v="1"/>
    <b v="0"/>
    <x v="0"/>
    <n v="23"/>
    <x v="1"/>
  </r>
  <r>
    <x v="282"/>
    <x v="5"/>
    <n v="61"/>
    <x v="2"/>
    <x v="80"/>
    <n v="140"/>
    <n v="1.8"/>
    <n v="2023"/>
    <x v="1"/>
    <s v="1 to 2 hours"/>
    <x v="3"/>
    <b v="0"/>
    <x v="1"/>
    <n v="22"/>
    <x v="2"/>
  </r>
  <r>
    <x v="283"/>
    <x v="12"/>
    <n v="126"/>
    <x v="1"/>
    <x v="80"/>
    <n v="128"/>
    <n v="4.2"/>
    <n v="2023"/>
    <x v="1"/>
    <s v="More than 2 hours"/>
    <x v="2"/>
    <s v="Happy"/>
    <x v="1"/>
    <n v="28"/>
    <x v="0"/>
  </r>
  <r>
    <x v="284"/>
    <x v="8"/>
    <n v="141"/>
    <x v="4"/>
    <x v="80"/>
    <n v="80"/>
    <n v="4.4000000000000004"/>
    <n v="2023"/>
    <x v="1"/>
    <s v="More than 2 hours"/>
    <x v="2"/>
    <s v="Happy"/>
    <x v="0"/>
    <n v="31"/>
    <x v="2"/>
  </r>
  <r>
    <x v="285"/>
    <x v="4"/>
    <n v="95"/>
    <x v="3"/>
    <x v="80"/>
    <n v="28"/>
    <n v="2.7"/>
    <n v="2023"/>
    <x v="1"/>
    <s v="1 to 2 hours"/>
    <x v="1"/>
    <b v="0"/>
    <x v="1"/>
    <n v="30"/>
    <x v="0"/>
  </r>
  <r>
    <x v="286"/>
    <x v="11"/>
    <n v="39"/>
    <x v="2"/>
    <x v="81"/>
    <n v="81"/>
    <n v="5"/>
    <n v="2023"/>
    <x v="2"/>
    <s v="30 to 60 mins"/>
    <x v="0"/>
    <s v="Happy"/>
    <x v="1"/>
    <n v="43"/>
    <x v="2"/>
  </r>
  <r>
    <x v="287"/>
    <x v="1"/>
    <n v="127"/>
    <x v="1"/>
    <x v="81"/>
    <n v="99"/>
    <n v="3.9"/>
    <n v="2023"/>
    <x v="2"/>
    <s v="More than 2 hours"/>
    <x v="2"/>
    <s v="Happy"/>
    <x v="0"/>
    <n v="36"/>
    <x v="0"/>
  </r>
  <r>
    <x v="288"/>
    <x v="5"/>
    <n v="78"/>
    <x v="1"/>
    <x v="81"/>
    <n v="43"/>
    <n v="3.8"/>
    <n v="2023"/>
    <x v="2"/>
    <s v="1 to 2 hours"/>
    <x v="2"/>
    <s v="Happy"/>
    <x v="1"/>
    <n v="22"/>
    <x v="2"/>
  </r>
  <r>
    <x v="289"/>
    <x v="7"/>
    <n v="40"/>
    <x v="1"/>
    <x v="81"/>
    <n v="34"/>
    <n v="4.5999999999999996"/>
    <n v="2023"/>
    <x v="2"/>
    <s v="30 to 60 mins"/>
    <x v="0"/>
    <s v="Happy"/>
    <x v="1"/>
    <n v="37"/>
    <x v="2"/>
  </r>
  <r>
    <x v="290"/>
    <x v="5"/>
    <n v="56"/>
    <x v="2"/>
    <x v="81"/>
    <n v="225"/>
    <n v="4.5999999999999996"/>
    <n v="2023"/>
    <x v="2"/>
    <s v="30 to 60 mins"/>
    <x v="0"/>
    <s v="Happy"/>
    <x v="1"/>
    <n v="22"/>
    <x v="2"/>
  </r>
  <r>
    <x v="291"/>
    <x v="11"/>
    <n v="59"/>
    <x v="4"/>
    <x v="81"/>
    <n v="210"/>
    <n v="4.5"/>
    <n v="2023"/>
    <x v="2"/>
    <s v="30 to 60 mins"/>
    <x v="0"/>
    <s v="Happy"/>
    <x v="1"/>
    <n v="43"/>
    <x v="2"/>
  </r>
  <r>
    <x v="292"/>
    <x v="12"/>
    <n v="30"/>
    <x v="1"/>
    <x v="81"/>
    <n v="168"/>
    <n v="4.2"/>
    <n v="2023"/>
    <x v="2"/>
    <s v="10 to 30 mins"/>
    <x v="2"/>
    <s v="Happy"/>
    <x v="1"/>
    <n v="28"/>
    <x v="0"/>
  </r>
  <r>
    <x v="293"/>
    <x v="7"/>
    <n v="63"/>
    <x v="0"/>
    <x v="82"/>
    <n v="82"/>
    <n v="4.5"/>
    <n v="2023"/>
    <x v="3"/>
    <s v="1 to 2 hours"/>
    <x v="0"/>
    <s v="Happy"/>
    <x v="1"/>
    <n v="37"/>
    <x v="2"/>
  </r>
  <r>
    <x v="294"/>
    <x v="2"/>
    <n v="56"/>
    <x v="3"/>
    <x v="82"/>
    <n v="88"/>
    <n v="4.0999999999999996"/>
    <n v="2023"/>
    <x v="3"/>
    <s v="30 to 60 mins"/>
    <x v="2"/>
    <s v="Happy"/>
    <x v="0"/>
    <n v="37"/>
    <x v="1"/>
  </r>
  <r>
    <x v="295"/>
    <x v="14"/>
    <n v="95"/>
    <x v="0"/>
    <x v="82"/>
    <n v="111"/>
    <n v="3.3"/>
    <n v="2023"/>
    <x v="3"/>
    <s v="1 to 2 hours"/>
    <x v="1"/>
    <b v="0"/>
    <x v="1"/>
    <n v="42"/>
    <x v="2"/>
  </r>
  <r>
    <x v="296"/>
    <x v="13"/>
    <n v="128"/>
    <x v="4"/>
    <x v="82"/>
    <n v="60"/>
    <n v="3.8"/>
    <n v="2023"/>
    <x v="3"/>
    <s v="More than 2 hours"/>
    <x v="2"/>
    <s v="Happy"/>
    <x v="0"/>
    <n v="41"/>
    <x v="1"/>
  </r>
  <r>
    <x v="297"/>
    <x v="4"/>
    <n v="49"/>
    <x v="0"/>
    <x v="82"/>
    <n v="80"/>
    <n v="3"/>
    <n v="2023"/>
    <x v="3"/>
    <s v="30 to 60 mins"/>
    <x v="1"/>
    <b v="0"/>
    <x v="1"/>
    <n v="30"/>
    <x v="0"/>
  </r>
  <r>
    <x v="298"/>
    <x v="13"/>
    <n v="89"/>
    <x v="2"/>
    <x v="83"/>
    <n v="90"/>
    <n v="4.5999999999999996"/>
    <n v="2023"/>
    <x v="5"/>
    <s v="1 to 2 hours"/>
    <x v="0"/>
    <s v="Happy"/>
    <x v="0"/>
    <n v="41"/>
    <x v="1"/>
  </r>
  <r>
    <x v="299"/>
    <x v="9"/>
    <n v="87"/>
    <x v="0"/>
    <x v="83"/>
    <n v="225"/>
    <n v="2.9"/>
    <n v="2023"/>
    <x v="5"/>
    <s v="1 to 2 hours"/>
    <x v="1"/>
    <b v="0"/>
    <x v="1"/>
    <n v="25"/>
    <x v="1"/>
  </r>
  <r>
    <x v="300"/>
    <x v="0"/>
    <n v="60"/>
    <x v="1"/>
    <x v="84"/>
    <n v="215"/>
    <n v="3.2"/>
    <n v="2023"/>
    <x v="6"/>
    <s v="30 to 60 mins"/>
    <x v="1"/>
    <b v="0"/>
    <x v="0"/>
    <n v="26"/>
    <x v="0"/>
  </r>
  <r>
    <x v="301"/>
    <x v="3"/>
    <n v="42"/>
    <x v="2"/>
    <x v="84"/>
    <n v="45"/>
    <n v="1.5"/>
    <n v="2023"/>
    <x v="6"/>
    <s v="30 to 60 mins"/>
    <x v="3"/>
    <b v="0"/>
    <x v="1"/>
    <n v="38"/>
    <x v="1"/>
  </r>
  <r>
    <x v="302"/>
    <x v="6"/>
    <n v="99"/>
    <x v="1"/>
    <x v="84"/>
    <n v="74"/>
    <n v="4"/>
    <n v="2023"/>
    <x v="6"/>
    <s v="1 to 2 hours"/>
    <x v="2"/>
    <s v="Happy"/>
    <x v="1"/>
    <n v="30"/>
    <x v="2"/>
  </r>
  <r>
    <x v="303"/>
    <x v="2"/>
    <n v="20"/>
    <x v="2"/>
    <x v="84"/>
    <n v="60"/>
    <n v="3.6"/>
    <n v="2023"/>
    <x v="6"/>
    <s v="10 to 30 mins"/>
    <x v="2"/>
    <s v="Happy"/>
    <x v="0"/>
    <n v="37"/>
    <x v="1"/>
  </r>
  <r>
    <x v="304"/>
    <x v="7"/>
    <n v="65"/>
    <x v="1"/>
    <x v="84"/>
    <n v="64"/>
    <n v="3.7"/>
    <n v="2023"/>
    <x v="6"/>
    <s v="1 to 2 hours"/>
    <x v="2"/>
    <s v="Happy"/>
    <x v="1"/>
    <n v="37"/>
    <x v="2"/>
  </r>
  <r>
    <x v="305"/>
    <x v="12"/>
    <n v="71"/>
    <x v="0"/>
    <x v="85"/>
    <n v="110"/>
    <n v="4.8"/>
    <n v="2023"/>
    <x v="0"/>
    <s v="1 to 2 hours"/>
    <x v="0"/>
    <s v="Happy"/>
    <x v="1"/>
    <n v="28"/>
    <x v="0"/>
  </r>
  <r>
    <x v="306"/>
    <x v="1"/>
    <n v="95"/>
    <x v="4"/>
    <x v="85"/>
    <n v="52"/>
    <n v="1.2"/>
    <n v="2023"/>
    <x v="0"/>
    <s v="1 to 2 hours"/>
    <x v="5"/>
    <b v="0"/>
    <x v="0"/>
    <n v="36"/>
    <x v="0"/>
  </r>
  <r>
    <x v="307"/>
    <x v="2"/>
    <n v="81"/>
    <x v="3"/>
    <x v="86"/>
    <n v="160"/>
    <n v="4.7"/>
    <n v="2023"/>
    <x v="1"/>
    <s v="1 to 2 hours"/>
    <x v="0"/>
    <s v="Happy"/>
    <x v="0"/>
    <n v="37"/>
    <x v="1"/>
  </r>
  <r>
    <x v="308"/>
    <x v="10"/>
    <n v="137"/>
    <x v="3"/>
    <x v="86"/>
    <n v="215"/>
    <n v="4.7"/>
    <n v="2023"/>
    <x v="1"/>
    <s v="More than 2 hours"/>
    <x v="0"/>
    <s v="Happy"/>
    <x v="0"/>
    <n v="23"/>
    <x v="1"/>
  </r>
  <r>
    <x v="309"/>
    <x v="10"/>
    <n v="40"/>
    <x v="4"/>
    <x v="86"/>
    <n v="220"/>
    <n v="4.5"/>
    <n v="2023"/>
    <x v="1"/>
    <s v="30 to 60 mins"/>
    <x v="0"/>
    <s v="Happy"/>
    <x v="0"/>
    <n v="23"/>
    <x v="1"/>
  </r>
  <r>
    <x v="310"/>
    <x v="6"/>
    <n v="111"/>
    <x v="1"/>
    <x v="87"/>
    <n v="175"/>
    <n v="3.5"/>
    <n v="2023"/>
    <x v="2"/>
    <s v="1 to 2 hours"/>
    <x v="2"/>
    <s v="Happy"/>
    <x v="1"/>
    <n v="30"/>
    <x v="2"/>
  </r>
  <r>
    <x v="311"/>
    <x v="12"/>
    <n v="106"/>
    <x v="1"/>
    <x v="87"/>
    <n v="145"/>
    <n v="4.0999999999999996"/>
    <n v="2023"/>
    <x v="2"/>
    <s v="1 to 2 hours"/>
    <x v="2"/>
    <s v="Happy"/>
    <x v="1"/>
    <n v="28"/>
    <x v="0"/>
  </r>
  <r>
    <x v="312"/>
    <x v="3"/>
    <n v="133"/>
    <x v="2"/>
    <x v="87"/>
    <n v="72"/>
    <n v="4.4000000000000004"/>
    <n v="2023"/>
    <x v="2"/>
    <s v="More than 2 hours"/>
    <x v="2"/>
    <s v="Happy"/>
    <x v="1"/>
    <n v="38"/>
    <x v="1"/>
  </r>
  <r>
    <x v="313"/>
    <x v="5"/>
    <n v="38"/>
    <x v="1"/>
    <x v="88"/>
    <n v="81"/>
    <n v="3.6"/>
    <n v="2023"/>
    <x v="3"/>
    <s v="30 to 60 mins"/>
    <x v="2"/>
    <s v="Happy"/>
    <x v="1"/>
    <n v="22"/>
    <x v="2"/>
  </r>
  <r>
    <x v="314"/>
    <x v="11"/>
    <n v="130"/>
    <x v="4"/>
    <x v="88"/>
    <n v="54"/>
    <n v="4.0999999999999996"/>
    <n v="2023"/>
    <x v="3"/>
    <s v="More than 2 hours"/>
    <x v="2"/>
    <s v="Happy"/>
    <x v="1"/>
    <n v="43"/>
    <x v="2"/>
  </r>
  <r>
    <x v="315"/>
    <x v="7"/>
    <n v="23"/>
    <x v="2"/>
    <x v="88"/>
    <n v="105"/>
    <n v="4.8"/>
    <n v="2023"/>
    <x v="3"/>
    <s v="10 to 30 mins"/>
    <x v="0"/>
    <s v="Happy"/>
    <x v="1"/>
    <n v="37"/>
    <x v="2"/>
  </r>
  <r>
    <x v="316"/>
    <x v="11"/>
    <n v="124"/>
    <x v="1"/>
    <x v="89"/>
    <n v="176"/>
    <n v="3.9"/>
    <n v="2023"/>
    <x v="4"/>
    <s v="More than 2 hours"/>
    <x v="2"/>
    <s v="Happy"/>
    <x v="1"/>
    <n v="43"/>
    <x v="2"/>
  </r>
  <r>
    <x v="317"/>
    <x v="2"/>
    <n v="107"/>
    <x v="1"/>
    <x v="89"/>
    <n v="115"/>
    <n v="3.8"/>
    <n v="2023"/>
    <x v="4"/>
    <s v="1 to 2 hours"/>
    <x v="2"/>
    <s v="Happy"/>
    <x v="0"/>
    <n v="37"/>
    <x v="1"/>
  </r>
  <r>
    <x v="318"/>
    <x v="10"/>
    <n v="60"/>
    <x v="0"/>
    <x v="89"/>
    <n v="116"/>
    <n v="3.9"/>
    <n v="2023"/>
    <x v="4"/>
    <s v="30 to 60 mins"/>
    <x v="2"/>
    <s v="Happy"/>
    <x v="0"/>
    <n v="23"/>
    <x v="1"/>
  </r>
  <r>
    <x v="319"/>
    <x v="10"/>
    <n v="158"/>
    <x v="4"/>
    <x v="89"/>
    <n v="100"/>
    <n v="4.0999999999999996"/>
    <n v="2023"/>
    <x v="4"/>
    <s v="More than 2 hours"/>
    <x v="2"/>
    <s v="Happy"/>
    <x v="0"/>
    <n v="23"/>
    <x v="1"/>
  </r>
  <r>
    <x v="320"/>
    <x v="9"/>
    <n v="110"/>
    <x v="4"/>
    <x v="90"/>
    <n v="36"/>
    <n v="2.2000000000000002"/>
    <n v="2023"/>
    <x v="5"/>
    <s v="1 to 2 hours"/>
    <x v="3"/>
    <b v="0"/>
    <x v="1"/>
    <n v="25"/>
    <x v="1"/>
  </r>
  <r>
    <x v="321"/>
    <x v="13"/>
    <n v="70"/>
    <x v="4"/>
    <x v="90"/>
    <n v="114"/>
    <n v="5"/>
    <n v="2023"/>
    <x v="5"/>
    <s v="1 to 2 hours"/>
    <x v="0"/>
    <s v="Happy"/>
    <x v="0"/>
    <n v="41"/>
    <x v="1"/>
  </r>
  <r>
    <x v="322"/>
    <x v="13"/>
    <n v="150"/>
    <x v="0"/>
    <x v="90"/>
    <n v="24"/>
    <n v="3.8"/>
    <n v="2023"/>
    <x v="5"/>
    <s v="More than 2 hours"/>
    <x v="2"/>
    <s v="Happy"/>
    <x v="0"/>
    <n v="41"/>
    <x v="1"/>
  </r>
  <r>
    <x v="323"/>
    <x v="5"/>
    <n v="36"/>
    <x v="1"/>
    <x v="90"/>
    <n v="135"/>
    <n v="4.5999999999999996"/>
    <n v="2023"/>
    <x v="5"/>
    <s v="30 to 60 mins"/>
    <x v="0"/>
    <s v="Happy"/>
    <x v="1"/>
    <n v="22"/>
    <x v="2"/>
  </r>
  <r>
    <x v="324"/>
    <x v="11"/>
    <n v="74"/>
    <x v="1"/>
    <x v="90"/>
    <n v="30"/>
    <n v="4"/>
    <n v="2023"/>
    <x v="5"/>
    <s v="1 to 2 hours"/>
    <x v="2"/>
    <s v="Happy"/>
    <x v="1"/>
    <n v="43"/>
    <x v="2"/>
  </r>
  <r>
    <x v="325"/>
    <x v="1"/>
    <n v="75"/>
    <x v="1"/>
    <x v="90"/>
    <n v="84"/>
    <n v="2.8"/>
    <n v="2023"/>
    <x v="5"/>
    <s v="1 to 2 hours"/>
    <x v="1"/>
    <b v="0"/>
    <x v="0"/>
    <n v="36"/>
    <x v="0"/>
  </r>
  <r>
    <x v="326"/>
    <x v="14"/>
    <n v="70"/>
    <x v="3"/>
    <x v="90"/>
    <n v="42"/>
    <n v="4.4000000000000004"/>
    <n v="2023"/>
    <x v="5"/>
    <s v="1 to 2 hours"/>
    <x v="2"/>
    <s v="Happy"/>
    <x v="1"/>
    <n v="42"/>
    <x v="2"/>
  </r>
  <r>
    <x v="327"/>
    <x v="9"/>
    <n v="23"/>
    <x v="4"/>
    <x v="90"/>
    <n v="117"/>
    <n v="2.4"/>
    <n v="2023"/>
    <x v="5"/>
    <s v="10 to 30 mins"/>
    <x v="3"/>
    <b v="0"/>
    <x v="1"/>
    <n v="25"/>
    <x v="1"/>
  </r>
  <r>
    <x v="328"/>
    <x v="6"/>
    <n v="104"/>
    <x v="2"/>
    <x v="90"/>
    <n v="164"/>
    <n v="4"/>
    <n v="2023"/>
    <x v="5"/>
    <s v="1 to 2 hours"/>
    <x v="2"/>
    <s v="Happy"/>
    <x v="1"/>
    <n v="30"/>
    <x v="2"/>
  </r>
  <r>
    <x v="329"/>
    <x v="13"/>
    <n v="95"/>
    <x v="3"/>
    <x v="91"/>
    <n v="123"/>
    <n v="4.4000000000000004"/>
    <n v="2023"/>
    <x v="6"/>
    <s v="1 to 2 hours"/>
    <x v="2"/>
    <s v="Happy"/>
    <x v="0"/>
    <n v="41"/>
    <x v="1"/>
  </r>
  <r>
    <x v="330"/>
    <x v="4"/>
    <n v="49"/>
    <x v="0"/>
    <x v="91"/>
    <n v="172"/>
    <n v="2.9"/>
    <n v="2023"/>
    <x v="6"/>
    <s v="30 to 60 mins"/>
    <x v="1"/>
    <b v="0"/>
    <x v="1"/>
    <n v="30"/>
    <x v="0"/>
  </r>
  <r>
    <x v="331"/>
    <x v="12"/>
    <n v="8"/>
    <x v="4"/>
    <x v="91"/>
    <n v="20"/>
    <n v="4.8"/>
    <n v="2023"/>
    <x v="6"/>
    <s v="Under 10 mins"/>
    <x v="0"/>
    <s v="Happy"/>
    <x v="1"/>
    <n v="28"/>
    <x v="0"/>
  </r>
  <r>
    <x v="332"/>
    <x v="13"/>
    <n v="157"/>
    <x v="0"/>
    <x v="91"/>
    <n v="72"/>
    <n v="3.7"/>
    <n v="2023"/>
    <x v="6"/>
    <s v="More than 2 hours"/>
    <x v="2"/>
    <s v="Happy"/>
    <x v="0"/>
    <n v="41"/>
    <x v="1"/>
  </r>
  <r>
    <x v="333"/>
    <x v="2"/>
    <n v="74"/>
    <x v="1"/>
    <x v="91"/>
    <n v="32"/>
    <n v="4.8"/>
    <n v="2023"/>
    <x v="6"/>
    <s v="1 to 2 hours"/>
    <x v="0"/>
    <s v="Happy"/>
    <x v="0"/>
    <n v="37"/>
    <x v="1"/>
  </r>
  <r>
    <x v="334"/>
    <x v="9"/>
    <n v="72"/>
    <x v="3"/>
    <x v="91"/>
    <n v="140"/>
    <n v="3.2"/>
    <n v="2023"/>
    <x v="6"/>
    <s v="1 to 2 hours"/>
    <x v="1"/>
    <b v="0"/>
    <x v="1"/>
    <n v="25"/>
    <x v="1"/>
  </r>
  <r>
    <x v="335"/>
    <x v="2"/>
    <n v="79"/>
    <x v="1"/>
    <x v="92"/>
    <n v="120"/>
    <n v="4.9000000000000004"/>
    <n v="2023"/>
    <x v="0"/>
    <s v="1 to 2 hours"/>
    <x v="0"/>
    <s v="Happy"/>
    <x v="0"/>
    <n v="37"/>
    <x v="1"/>
  </r>
  <r>
    <x v="336"/>
    <x v="11"/>
    <n v="23"/>
    <x v="1"/>
    <x v="92"/>
    <n v="86"/>
    <n v="2.2000000000000002"/>
    <n v="2023"/>
    <x v="0"/>
    <s v="10 to 30 mins"/>
    <x v="3"/>
    <b v="0"/>
    <x v="1"/>
    <n v="43"/>
    <x v="2"/>
  </r>
  <r>
    <x v="337"/>
    <x v="1"/>
    <n v="69"/>
    <x v="1"/>
    <x v="92"/>
    <n v="132"/>
    <n v="5"/>
    <n v="2023"/>
    <x v="0"/>
    <s v="1 to 2 hours"/>
    <x v="0"/>
    <s v="Happy"/>
    <x v="0"/>
    <n v="36"/>
    <x v="0"/>
  </r>
  <r>
    <x v="338"/>
    <x v="10"/>
    <n v="64"/>
    <x v="1"/>
    <x v="92"/>
    <n v="80"/>
    <n v="3.3"/>
    <n v="2023"/>
    <x v="0"/>
    <s v="1 to 2 hours"/>
    <x v="1"/>
    <b v="0"/>
    <x v="0"/>
    <n v="23"/>
    <x v="1"/>
  </r>
  <r>
    <x v="339"/>
    <x v="8"/>
    <n v="47"/>
    <x v="0"/>
    <x v="92"/>
    <n v="132"/>
    <n v="3.7"/>
    <n v="2023"/>
    <x v="0"/>
    <s v="30 to 60 mins"/>
    <x v="2"/>
    <s v="Happy"/>
    <x v="0"/>
    <n v="31"/>
    <x v="2"/>
  </r>
  <r>
    <x v="340"/>
    <x v="2"/>
    <n v="55"/>
    <x v="3"/>
    <x v="92"/>
    <n v="27"/>
    <n v="3.7"/>
    <n v="2023"/>
    <x v="0"/>
    <s v="30 to 60 mins"/>
    <x v="2"/>
    <s v="Happy"/>
    <x v="0"/>
    <n v="37"/>
    <x v="1"/>
  </r>
  <r>
    <x v="341"/>
    <x v="6"/>
    <n v="104"/>
    <x v="3"/>
    <x v="93"/>
    <n v="68"/>
    <n v="3.6"/>
    <n v="2023"/>
    <x v="1"/>
    <s v="1 to 2 hours"/>
    <x v="2"/>
    <s v="Happy"/>
    <x v="1"/>
    <n v="30"/>
    <x v="2"/>
  </r>
  <r>
    <x v="342"/>
    <x v="8"/>
    <n v="116"/>
    <x v="1"/>
    <x v="93"/>
    <n v="22"/>
    <n v="4.7"/>
    <n v="2023"/>
    <x v="1"/>
    <s v="1 to 2 hours"/>
    <x v="0"/>
    <s v="Happy"/>
    <x v="0"/>
    <n v="31"/>
    <x v="2"/>
  </r>
  <r>
    <x v="343"/>
    <x v="11"/>
    <n v="99"/>
    <x v="3"/>
    <x v="93"/>
    <n v="42"/>
    <n v="3.1"/>
    <n v="2023"/>
    <x v="1"/>
    <s v="1 to 2 hours"/>
    <x v="1"/>
    <b v="0"/>
    <x v="1"/>
    <n v="43"/>
    <x v="2"/>
  </r>
  <r>
    <x v="344"/>
    <x v="6"/>
    <n v="84"/>
    <x v="3"/>
    <x v="94"/>
    <n v="38"/>
    <n v="3.3"/>
    <n v="2023"/>
    <x v="2"/>
    <s v="1 to 2 hours"/>
    <x v="1"/>
    <b v="0"/>
    <x v="1"/>
    <n v="30"/>
    <x v="2"/>
  </r>
  <r>
    <x v="345"/>
    <x v="12"/>
    <n v="159"/>
    <x v="3"/>
    <x v="94"/>
    <n v="42"/>
    <n v="4.5"/>
    <n v="2023"/>
    <x v="2"/>
    <s v="More than 2 hours"/>
    <x v="0"/>
    <s v="Happy"/>
    <x v="1"/>
    <n v="28"/>
    <x v="0"/>
  </r>
  <r>
    <x v="346"/>
    <x v="5"/>
    <n v="25"/>
    <x v="0"/>
    <x v="94"/>
    <n v="75"/>
    <n v="3.9"/>
    <n v="2023"/>
    <x v="2"/>
    <s v="10 to 30 mins"/>
    <x v="2"/>
    <s v="Happy"/>
    <x v="1"/>
    <n v="22"/>
    <x v="2"/>
  </r>
  <r>
    <x v="347"/>
    <x v="12"/>
    <n v="53"/>
    <x v="4"/>
    <x v="95"/>
    <n v="23"/>
    <n v="4.9000000000000004"/>
    <n v="2023"/>
    <x v="3"/>
    <s v="30 to 60 mins"/>
    <x v="0"/>
    <s v="Happy"/>
    <x v="1"/>
    <n v="28"/>
    <x v="0"/>
  </r>
  <r>
    <x v="348"/>
    <x v="12"/>
    <n v="89"/>
    <x v="0"/>
    <x v="95"/>
    <n v="200"/>
    <n v="4.8"/>
    <n v="2023"/>
    <x v="3"/>
    <s v="1 to 2 hours"/>
    <x v="0"/>
    <s v="Happy"/>
    <x v="1"/>
    <n v="28"/>
    <x v="0"/>
  </r>
  <r>
    <x v="349"/>
    <x v="3"/>
    <n v="73"/>
    <x v="1"/>
    <x v="96"/>
    <n v="45"/>
    <n v="3.6"/>
    <n v="2023"/>
    <x v="4"/>
    <s v="1 to 2 hours"/>
    <x v="2"/>
    <s v="Happy"/>
    <x v="1"/>
    <n v="38"/>
    <x v="1"/>
  </r>
  <r>
    <x v="350"/>
    <x v="11"/>
    <n v="50"/>
    <x v="1"/>
    <x v="96"/>
    <n v="105"/>
    <n v="3.5"/>
    <n v="2023"/>
    <x v="4"/>
    <s v="30 to 60 mins"/>
    <x v="2"/>
    <s v="Happy"/>
    <x v="1"/>
    <n v="43"/>
    <x v="2"/>
  </r>
  <r>
    <x v="351"/>
    <x v="4"/>
    <n v="98"/>
    <x v="1"/>
    <x v="96"/>
    <n v="22"/>
    <n v="3.8"/>
    <n v="2023"/>
    <x v="4"/>
    <s v="1 to 2 hours"/>
    <x v="2"/>
    <s v="Happy"/>
    <x v="1"/>
    <n v="30"/>
    <x v="0"/>
  </r>
  <r>
    <x v="352"/>
    <x v="7"/>
    <n v="114"/>
    <x v="3"/>
    <x v="97"/>
    <n v="126"/>
    <n v="4.4000000000000004"/>
    <n v="2023"/>
    <x v="5"/>
    <s v="1 to 2 hours"/>
    <x v="2"/>
    <s v="Happy"/>
    <x v="1"/>
    <n v="37"/>
    <x v="2"/>
  </r>
  <r>
    <x v="353"/>
    <x v="10"/>
    <n v="67"/>
    <x v="3"/>
    <x v="97"/>
    <n v="35"/>
    <n v="3"/>
    <n v="2023"/>
    <x v="5"/>
    <s v="1 to 2 hours"/>
    <x v="1"/>
    <b v="0"/>
    <x v="0"/>
    <n v="23"/>
    <x v="1"/>
  </r>
  <r>
    <x v="354"/>
    <x v="2"/>
    <n v="91"/>
    <x v="1"/>
    <x v="97"/>
    <n v="84"/>
    <n v="4.5"/>
    <n v="2023"/>
    <x v="5"/>
    <s v="1 to 2 hours"/>
    <x v="0"/>
    <s v="Happy"/>
    <x v="0"/>
    <n v="37"/>
    <x v="1"/>
  </r>
  <r>
    <x v="355"/>
    <x v="14"/>
    <n v="67"/>
    <x v="1"/>
    <x v="98"/>
    <n v="172"/>
    <n v="4.5"/>
    <n v="2023"/>
    <x v="6"/>
    <s v="1 to 2 hours"/>
    <x v="0"/>
    <s v="Happy"/>
    <x v="1"/>
    <n v="42"/>
    <x v="2"/>
  </r>
  <r>
    <x v="356"/>
    <x v="7"/>
    <n v="139"/>
    <x v="0"/>
    <x v="98"/>
    <n v="114"/>
    <n v="4"/>
    <n v="2023"/>
    <x v="6"/>
    <s v="More than 2 hours"/>
    <x v="2"/>
    <s v="Happy"/>
    <x v="1"/>
    <n v="37"/>
    <x v="2"/>
  </r>
  <r>
    <x v="357"/>
    <x v="14"/>
    <n v="102"/>
    <x v="0"/>
    <x v="98"/>
    <n v="60"/>
    <n v="3.8"/>
    <n v="2023"/>
    <x v="6"/>
    <s v="1 to 2 hours"/>
    <x v="2"/>
    <s v="Happy"/>
    <x v="1"/>
    <n v="42"/>
    <x v="2"/>
  </r>
  <r>
    <x v="358"/>
    <x v="13"/>
    <n v="108"/>
    <x v="2"/>
    <x v="98"/>
    <n v="26"/>
    <n v="3.3"/>
    <n v="2023"/>
    <x v="6"/>
    <s v="1 to 2 hours"/>
    <x v="1"/>
    <b v="0"/>
    <x v="0"/>
    <n v="41"/>
    <x v="1"/>
  </r>
  <r>
    <x v="359"/>
    <x v="5"/>
    <n v="66"/>
    <x v="1"/>
    <x v="98"/>
    <n v="210"/>
    <n v="4.3"/>
    <n v="2023"/>
    <x v="6"/>
    <s v="1 to 2 hours"/>
    <x v="2"/>
    <s v="Happy"/>
    <x v="1"/>
    <n v="22"/>
    <x v="2"/>
  </r>
  <r>
    <x v="360"/>
    <x v="9"/>
    <n v="85"/>
    <x v="0"/>
    <x v="98"/>
    <n v="129"/>
    <n v="4.2"/>
    <n v="2023"/>
    <x v="6"/>
    <s v="1 to 2 hours"/>
    <x v="2"/>
    <s v="Happy"/>
    <x v="1"/>
    <n v="25"/>
    <x v="1"/>
  </r>
  <r>
    <x v="361"/>
    <x v="10"/>
    <n v="55"/>
    <x v="2"/>
    <x v="98"/>
    <n v="215"/>
    <n v="4.3"/>
    <n v="2023"/>
    <x v="6"/>
    <s v="30 to 60 mins"/>
    <x v="2"/>
    <s v="Happy"/>
    <x v="0"/>
    <n v="23"/>
    <x v="1"/>
  </r>
  <r>
    <x v="362"/>
    <x v="13"/>
    <n v="17"/>
    <x v="4"/>
    <x v="98"/>
    <n v="69"/>
    <n v="4.5999999999999996"/>
    <n v="2023"/>
    <x v="6"/>
    <s v="10 to 30 mins"/>
    <x v="0"/>
    <s v="Happy"/>
    <x v="0"/>
    <n v="41"/>
    <x v="1"/>
  </r>
  <r>
    <x v="363"/>
    <x v="10"/>
    <n v="128"/>
    <x v="4"/>
    <x v="98"/>
    <n v="140"/>
    <n v="3"/>
    <n v="2023"/>
    <x v="6"/>
    <s v="More than 2 hours"/>
    <x v="1"/>
    <b v="0"/>
    <x v="0"/>
    <n v="23"/>
    <x v="1"/>
  </r>
  <r>
    <x v="364"/>
    <x v="11"/>
    <n v="45"/>
    <x v="2"/>
    <x v="99"/>
    <n v="156"/>
    <n v="2.7"/>
    <n v="2023"/>
    <x v="0"/>
    <s v="30 to 60 mins"/>
    <x v="1"/>
    <b v="0"/>
    <x v="1"/>
    <n v="43"/>
    <x v="2"/>
  </r>
  <r>
    <x v="365"/>
    <x v="13"/>
    <n v="41"/>
    <x v="4"/>
    <x v="99"/>
    <n v="164"/>
    <n v="3.1"/>
    <n v="2023"/>
    <x v="0"/>
    <s v="30 to 60 mins"/>
    <x v="1"/>
    <b v="0"/>
    <x v="0"/>
    <n v="41"/>
    <x v="1"/>
  </r>
  <r>
    <x v="366"/>
    <x v="8"/>
    <n v="49"/>
    <x v="4"/>
    <x v="99"/>
    <n v="195"/>
    <n v="2.6"/>
    <n v="2023"/>
    <x v="0"/>
    <s v="30 to 60 mins"/>
    <x v="1"/>
    <b v="0"/>
    <x v="0"/>
    <n v="31"/>
    <x v="2"/>
  </r>
  <r>
    <x v="367"/>
    <x v="1"/>
    <n v="21"/>
    <x v="3"/>
    <x v="99"/>
    <n v="74"/>
    <n v="4.5999999999999996"/>
    <n v="2023"/>
    <x v="0"/>
    <s v="10 to 30 mins"/>
    <x v="0"/>
    <s v="Happy"/>
    <x v="0"/>
    <n v="36"/>
    <x v="0"/>
  </r>
  <r>
    <x v="368"/>
    <x v="12"/>
    <n v="133"/>
    <x v="2"/>
    <x v="99"/>
    <n v="100"/>
    <n v="4"/>
    <n v="2023"/>
    <x v="0"/>
    <s v="More than 2 hours"/>
    <x v="2"/>
    <s v="Happy"/>
    <x v="1"/>
    <n v="28"/>
    <x v="0"/>
  </r>
  <r>
    <x v="369"/>
    <x v="0"/>
    <n v="135"/>
    <x v="1"/>
    <x v="99"/>
    <n v="185"/>
    <n v="4.5"/>
    <n v="2023"/>
    <x v="0"/>
    <s v="More than 2 hours"/>
    <x v="0"/>
    <s v="Happy"/>
    <x v="0"/>
    <n v="26"/>
    <x v="0"/>
  </r>
  <r>
    <x v="370"/>
    <x v="7"/>
    <n v="69"/>
    <x v="2"/>
    <x v="99"/>
    <n v="130"/>
    <n v="1.9"/>
    <n v="2023"/>
    <x v="0"/>
    <s v="1 to 2 hours"/>
    <x v="3"/>
    <b v="0"/>
    <x v="1"/>
    <n v="37"/>
    <x v="2"/>
  </r>
  <r>
    <x v="371"/>
    <x v="6"/>
    <n v="110"/>
    <x v="3"/>
    <x v="100"/>
    <n v="21"/>
    <n v="2.6"/>
    <n v="2023"/>
    <x v="1"/>
    <s v="1 to 2 hours"/>
    <x v="1"/>
    <b v="0"/>
    <x v="1"/>
    <n v="30"/>
    <x v="2"/>
  </r>
  <r>
    <x v="372"/>
    <x v="14"/>
    <n v="64"/>
    <x v="0"/>
    <x v="100"/>
    <n v="88"/>
    <n v="4.3"/>
    <n v="2023"/>
    <x v="1"/>
    <s v="1 to 2 hours"/>
    <x v="2"/>
    <s v="Happy"/>
    <x v="1"/>
    <n v="42"/>
    <x v="2"/>
  </r>
  <r>
    <x v="373"/>
    <x v="2"/>
    <n v="105"/>
    <x v="4"/>
    <x v="100"/>
    <n v="35"/>
    <n v="4.4000000000000004"/>
    <n v="2023"/>
    <x v="1"/>
    <s v="1 to 2 hours"/>
    <x v="2"/>
    <s v="Happy"/>
    <x v="0"/>
    <n v="37"/>
    <x v="1"/>
  </r>
  <r>
    <x v="374"/>
    <x v="14"/>
    <n v="165"/>
    <x v="1"/>
    <x v="100"/>
    <n v="68"/>
    <n v="4.3"/>
    <n v="2023"/>
    <x v="1"/>
    <s v="More than 2 hours"/>
    <x v="2"/>
    <s v="Happy"/>
    <x v="1"/>
    <n v="42"/>
    <x v="2"/>
  </r>
  <r>
    <x v="375"/>
    <x v="11"/>
    <n v="125"/>
    <x v="1"/>
    <x v="100"/>
    <n v="148"/>
    <n v="4.5"/>
    <n v="2023"/>
    <x v="1"/>
    <s v="More than 2 hours"/>
    <x v="0"/>
    <s v="Happy"/>
    <x v="1"/>
    <n v="43"/>
    <x v="2"/>
  </r>
  <r>
    <x v="376"/>
    <x v="2"/>
    <n v="88"/>
    <x v="0"/>
    <x v="101"/>
    <n v="81"/>
    <n v="4.2"/>
    <n v="2023"/>
    <x v="2"/>
    <s v="1 to 2 hours"/>
    <x v="2"/>
    <s v="Happy"/>
    <x v="0"/>
    <n v="37"/>
    <x v="1"/>
  </r>
  <r>
    <x v="377"/>
    <x v="7"/>
    <n v="6"/>
    <x v="0"/>
    <x v="101"/>
    <n v="75"/>
    <n v="3.9"/>
    <n v="2023"/>
    <x v="2"/>
    <s v="Under 10 mins"/>
    <x v="2"/>
    <s v="Happy"/>
    <x v="1"/>
    <n v="37"/>
    <x v="2"/>
  </r>
  <r>
    <x v="378"/>
    <x v="9"/>
    <n v="69"/>
    <x v="2"/>
    <x v="102"/>
    <n v="32"/>
    <n v="3.6"/>
    <n v="2023"/>
    <x v="3"/>
    <s v="1 to 2 hours"/>
    <x v="2"/>
    <s v="Happy"/>
    <x v="1"/>
    <n v="25"/>
    <x v="1"/>
  </r>
  <r>
    <x v="379"/>
    <x v="13"/>
    <n v="107"/>
    <x v="2"/>
    <x v="102"/>
    <n v="156"/>
    <n v="3.8"/>
    <n v="2023"/>
    <x v="3"/>
    <s v="1 to 2 hours"/>
    <x v="2"/>
    <s v="Happy"/>
    <x v="0"/>
    <n v="41"/>
    <x v="1"/>
  </r>
  <r>
    <x v="380"/>
    <x v="1"/>
    <n v="90"/>
    <x v="1"/>
    <x v="102"/>
    <n v="99"/>
    <n v="4.9000000000000004"/>
    <n v="2023"/>
    <x v="3"/>
    <s v="1 to 2 hours"/>
    <x v="0"/>
    <s v="Happy"/>
    <x v="0"/>
    <n v="36"/>
    <x v="0"/>
  </r>
  <r>
    <x v="381"/>
    <x v="0"/>
    <n v="120"/>
    <x v="4"/>
    <x v="102"/>
    <n v="26"/>
    <n v="4"/>
    <n v="2023"/>
    <x v="3"/>
    <s v="1 to 2 hours"/>
    <x v="2"/>
    <s v="Happy"/>
    <x v="0"/>
    <n v="26"/>
    <x v="0"/>
  </r>
  <r>
    <x v="382"/>
    <x v="4"/>
    <n v="47"/>
    <x v="2"/>
    <x v="102"/>
    <n v="84"/>
    <n v="4.0999999999999996"/>
    <n v="2023"/>
    <x v="3"/>
    <s v="30 to 60 mins"/>
    <x v="2"/>
    <s v="Happy"/>
    <x v="1"/>
    <n v="30"/>
    <x v="0"/>
  </r>
  <r>
    <x v="383"/>
    <x v="3"/>
    <n v="60"/>
    <x v="4"/>
    <x v="102"/>
    <n v="84"/>
    <n v="4.8"/>
    <n v="2023"/>
    <x v="3"/>
    <s v="30 to 60 mins"/>
    <x v="0"/>
    <s v="Happy"/>
    <x v="1"/>
    <n v="38"/>
    <x v="1"/>
  </r>
  <r>
    <x v="384"/>
    <x v="10"/>
    <n v="64"/>
    <x v="1"/>
    <x v="102"/>
    <n v="170"/>
    <n v="2.2999999999999998"/>
    <n v="2023"/>
    <x v="3"/>
    <s v="1 to 2 hours"/>
    <x v="3"/>
    <b v="0"/>
    <x v="0"/>
    <n v="23"/>
    <x v="1"/>
  </r>
  <r>
    <x v="385"/>
    <x v="14"/>
    <n v="62"/>
    <x v="2"/>
    <x v="102"/>
    <n v="35"/>
    <n v="4.4000000000000004"/>
    <n v="2023"/>
    <x v="3"/>
    <s v="1 to 2 hours"/>
    <x v="2"/>
    <s v="Happy"/>
    <x v="1"/>
    <n v="42"/>
    <x v="2"/>
  </r>
  <r>
    <x v="386"/>
    <x v="6"/>
    <n v="88"/>
    <x v="2"/>
    <x v="103"/>
    <n v="35"/>
    <n v="3.8"/>
    <n v="2023"/>
    <x v="4"/>
    <s v="1 to 2 hours"/>
    <x v="2"/>
    <s v="Happy"/>
    <x v="1"/>
    <n v="30"/>
    <x v="2"/>
  </r>
  <r>
    <x v="387"/>
    <x v="11"/>
    <n v="116"/>
    <x v="2"/>
    <x v="103"/>
    <n v="132"/>
    <n v="5"/>
    <n v="2023"/>
    <x v="4"/>
    <s v="1 to 2 hours"/>
    <x v="0"/>
    <s v="Happy"/>
    <x v="1"/>
    <n v="43"/>
    <x v="2"/>
  </r>
  <r>
    <x v="388"/>
    <x v="1"/>
    <n v="82"/>
    <x v="0"/>
    <x v="104"/>
    <n v="144"/>
    <n v="3.3"/>
    <n v="2023"/>
    <x v="5"/>
    <s v="1 to 2 hours"/>
    <x v="1"/>
    <b v="0"/>
    <x v="0"/>
    <n v="36"/>
    <x v="0"/>
  </r>
  <r>
    <x v="389"/>
    <x v="14"/>
    <n v="99"/>
    <x v="1"/>
    <x v="104"/>
    <n v="48"/>
    <n v="5"/>
    <n v="2023"/>
    <x v="5"/>
    <s v="1 to 2 hours"/>
    <x v="0"/>
    <s v="Happy"/>
    <x v="1"/>
    <n v="42"/>
    <x v="2"/>
  </r>
  <r>
    <x v="390"/>
    <x v="14"/>
    <n v="55"/>
    <x v="0"/>
    <x v="104"/>
    <n v="200"/>
    <n v="2.2999999999999998"/>
    <n v="2023"/>
    <x v="5"/>
    <s v="30 to 60 mins"/>
    <x v="3"/>
    <b v="0"/>
    <x v="1"/>
    <n v="42"/>
    <x v="2"/>
  </r>
  <r>
    <x v="391"/>
    <x v="10"/>
    <n v="61"/>
    <x v="4"/>
    <x v="104"/>
    <n v="38"/>
    <n v="4.8"/>
    <n v="2023"/>
    <x v="5"/>
    <s v="1 to 2 hours"/>
    <x v="0"/>
    <s v="Happy"/>
    <x v="0"/>
    <n v="23"/>
    <x v="1"/>
  </r>
  <r>
    <x v="392"/>
    <x v="11"/>
    <n v="36"/>
    <x v="3"/>
    <x v="104"/>
    <n v="81"/>
    <n v="3.7"/>
    <n v="2023"/>
    <x v="5"/>
    <s v="30 to 60 mins"/>
    <x v="2"/>
    <s v="Happy"/>
    <x v="1"/>
    <n v="43"/>
    <x v="2"/>
  </r>
  <r>
    <x v="393"/>
    <x v="1"/>
    <n v="123"/>
    <x v="2"/>
    <x v="104"/>
    <n v="120"/>
    <n v="4.2"/>
    <n v="2023"/>
    <x v="5"/>
    <s v="More than 2 hours"/>
    <x v="2"/>
    <s v="Happy"/>
    <x v="0"/>
    <n v="36"/>
    <x v="0"/>
  </r>
  <r>
    <x v="394"/>
    <x v="8"/>
    <n v="24"/>
    <x v="4"/>
    <x v="104"/>
    <n v="74"/>
    <n v="4.8"/>
    <n v="2023"/>
    <x v="5"/>
    <s v="10 to 30 mins"/>
    <x v="0"/>
    <s v="Happy"/>
    <x v="0"/>
    <n v="31"/>
    <x v="2"/>
  </r>
  <r>
    <x v="395"/>
    <x v="1"/>
    <n v="43"/>
    <x v="2"/>
    <x v="105"/>
    <n v="128"/>
    <n v="4.7"/>
    <n v="2023"/>
    <x v="6"/>
    <s v="30 to 60 mins"/>
    <x v="0"/>
    <s v="Happy"/>
    <x v="0"/>
    <n v="36"/>
    <x v="0"/>
  </r>
  <r>
    <x v="396"/>
    <x v="3"/>
    <n v="95"/>
    <x v="1"/>
    <x v="105"/>
    <n v="21"/>
    <n v="3.9"/>
    <n v="2023"/>
    <x v="6"/>
    <s v="1 to 2 hours"/>
    <x v="2"/>
    <s v="Happy"/>
    <x v="1"/>
    <n v="38"/>
    <x v="1"/>
  </r>
  <r>
    <x v="397"/>
    <x v="14"/>
    <n v="53"/>
    <x v="2"/>
    <x v="105"/>
    <n v="110"/>
    <n v="4.3"/>
    <n v="2023"/>
    <x v="6"/>
    <s v="30 to 60 mins"/>
    <x v="2"/>
    <s v="Happy"/>
    <x v="1"/>
    <n v="42"/>
    <x v="2"/>
  </r>
  <r>
    <x v="398"/>
    <x v="1"/>
    <n v="113"/>
    <x v="2"/>
    <x v="105"/>
    <n v="145"/>
    <n v="4"/>
    <n v="2023"/>
    <x v="6"/>
    <s v="1 to 2 hours"/>
    <x v="2"/>
    <s v="Happy"/>
    <x v="0"/>
    <n v="36"/>
    <x v="0"/>
  </r>
  <r>
    <x v="399"/>
    <x v="14"/>
    <n v="89"/>
    <x v="3"/>
    <x v="105"/>
    <n v="129"/>
    <n v="4"/>
    <n v="2023"/>
    <x v="6"/>
    <s v="1 to 2 hours"/>
    <x v="2"/>
    <s v="Happy"/>
    <x v="1"/>
    <n v="42"/>
    <x v="2"/>
  </r>
  <r>
    <x v="400"/>
    <x v="6"/>
    <n v="84"/>
    <x v="0"/>
    <x v="105"/>
    <n v="156"/>
    <n v="3.2"/>
    <n v="2023"/>
    <x v="6"/>
    <s v="1 to 2 hours"/>
    <x v="1"/>
    <b v="0"/>
    <x v="1"/>
    <n v="30"/>
    <x v="2"/>
  </r>
  <r>
    <x v="401"/>
    <x v="8"/>
    <n v="130"/>
    <x v="2"/>
    <x v="106"/>
    <n v="120"/>
    <n v="3.8"/>
    <n v="2023"/>
    <x v="0"/>
    <s v="More than 2 hours"/>
    <x v="2"/>
    <s v="Happy"/>
    <x v="0"/>
    <n v="31"/>
    <x v="2"/>
  </r>
  <r>
    <x v="402"/>
    <x v="3"/>
    <n v="163"/>
    <x v="3"/>
    <x v="106"/>
    <n v="62"/>
    <n v="3.4"/>
    <n v="2023"/>
    <x v="0"/>
    <s v="More than 2 hours"/>
    <x v="1"/>
    <b v="0"/>
    <x v="1"/>
    <n v="38"/>
    <x v="1"/>
  </r>
  <r>
    <x v="403"/>
    <x v="9"/>
    <n v="127"/>
    <x v="2"/>
    <x v="106"/>
    <n v="160"/>
    <n v="3.2"/>
    <n v="2023"/>
    <x v="0"/>
    <s v="More than 2 hours"/>
    <x v="1"/>
    <b v="0"/>
    <x v="1"/>
    <n v="25"/>
    <x v="1"/>
  </r>
  <r>
    <x v="404"/>
    <x v="1"/>
    <n v="50"/>
    <x v="2"/>
    <x v="106"/>
    <n v="56"/>
    <n v="4.7"/>
    <n v="2023"/>
    <x v="0"/>
    <s v="30 to 60 mins"/>
    <x v="0"/>
    <s v="Happy"/>
    <x v="0"/>
    <n v="36"/>
    <x v="0"/>
  </r>
  <r>
    <x v="405"/>
    <x v="5"/>
    <n v="88"/>
    <x v="4"/>
    <x v="106"/>
    <n v="72"/>
    <n v="4"/>
    <n v="2023"/>
    <x v="0"/>
    <s v="1 to 2 hours"/>
    <x v="2"/>
    <s v="Happy"/>
    <x v="1"/>
    <n v="22"/>
    <x v="2"/>
  </r>
  <r>
    <x v="406"/>
    <x v="1"/>
    <n v="139"/>
    <x v="1"/>
    <x v="107"/>
    <n v="81"/>
    <n v="4.8"/>
    <n v="2023"/>
    <x v="1"/>
    <s v="More than 2 hours"/>
    <x v="0"/>
    <s v="Happy"/>
    <x v="0"/>
    <n v="36"/>
    <x v="0"/>
  </r>
  <r>
    <x v="407"/>
    <x v="3"/>
    <n v="111"/>
    <x v="2"/>
    <x v="107"/>
    <n v="144"/>
    <n v="3.9"/>
    <n v="2023"/>
    <x v="1"/>
    <s v="1 to 2 hours"/>
    <x v="2"/>
    <s v="Happy"/>
    <x v="1"/>
    <n v="38"/>
    <x v="1"/>
  </r>
  <r>
    <x v="408"/>
    <x v="2"/>
    <n v="115"/>
    <x v="1"/>
    <x v="107"/>
    <n v="111"/>
    <n v="4.3"/>
    <n v="2023"/>
    <x v="1"/>
    <s v="1 to 2 hours"/>
    <x v="2"/>
    <s v="Happy"/>
    <x v="0"/>
    <n v="37"/>
    <x v="1"/>
  </r>
  <r>
    <x v="409"/>
    <x v="14"/>
    <n v="26"/>
    <x v="3"/>
    <x v="107"/>
    <n v="43"/>
    <n v="4.2"/>
    <n v="2023"/>
    <x v="1"/>
    <s v="10 to 30 mins"/>
    <x v="2"/>
    <s v="Happy"/>
    <x v="1"/>
    <n v="42"/>
    <x v="2"/>
  </r>
  <r>
    <x v="410"/>
    <x v="6"/>
    <n v="131"/>
    <x v="4"/>
    <x v="107"/>
    <n v="41"/>
    <n v="4.9000000000000004"/>
    <n v="2023"/>
    <x v="1"/>
    <s v="More than 2 hours"/>
    <x v="0"/>
    <s v="Happy"/>
    <x v="1"/>
    <n v="30"/>
    <x v="2"/>
  </r>
  <r>
    <x v="411"/>
    <x v="2"/>
    <n v="27"/>
    <x v="4"/>
    <x v="107"/>
    <n v="74"/>
    <n v="4"/>
    <n v="2023"/>
    <x v="1"/>
    <s v="10 to 30 mins"/>
    <x v="2"/>
    <s v="Happy"/>
    <x v="0"/>
    <n v="37"/>
    <x v="1"/>
  </r>
  <r>
    <x v="412"/>
    <x v="12"/>
    <n v="75"/>
    <x v="2"/>
    <x v="107"/>
    <n v="43"/>
    <n v="4.9000000000000004"/>
    <n v="2023"/>
    <x v="1"/>
    <s v="1 to 2 hours"/>
    <x v="0"/>
    <s v="Happy"/>
    <x v="1"/>
    <n v="28"/>
    <x v="0"/>
  </r>
  <r>
    <x v="413"/>
    <x v="10"/>
    <n v="123"/>
    <x v="4"/>
    <x v="107"/>
    <n v="128"/>
    <n v="3.6"/>
    <n v="2023"/>
    <x v="1"/>
    <s v="More than 2 hours"/>
    <x v="2"/>
    <s v="Happy"/>
    <x v="0"/>
    <n v="23"/>
    <x v="1"/>
  </r>
  <r>
    <x v="414"/>
    <x v="0"/>
    <n v="129"/>
    <x v="4"/>
    <x v="108"/>
    <n v="144"/>
    <n v="4.0999999999999996"/>
    <n v="2023"/>
    <x v="2"/>
    <s v="More than 2 hours"/>
    <x v="2"/>
    <s v="Happy"/>
    <x v="0"/>
    <n v="26"/>
    <x v="0"/>
  </r>
  <r>
    <x v="415"/>
    <x v="12"/>
    <n v="124"/>
    <x v="1"/>
    <x v="108"/>
    <n v="132"/>
    <n v="4.9000000000000004"/>
    <n v="2023"/>
    <x v="2"/>
    <s v="More than 2 hours"/>
    <x v="0"/>
    <s v="Happy"/>
    <x v="1"/>
    <n v="28"/>
    <x v="0"/>
  </r>
  <r>
    <x v="416"/>
    <x v="2"/>
    <n v="108"/>
    <x v="1"/>
    <x v="108"/>
    <n v="180"/>
    <n v="3.9"/>
    <n v="2023"/>
    <x v="2"/>
    <s v="1 to 2 hours"/>
    <x v="2"/>
    <s v="Happy"/>
    <x v="0"/>
    <n v="37"/>
    <x v="1"/>
  </r>
  <r>
    <x v="417"/>
    <x v="4"/>
    <n v="15"/>
    <x v="1"/>
    <x v="108"/>
    <n v="31"/>
    <n v="4.0999999999999996"/>
    <n v="2023"/>
    <x v="2"/>
    <s v="10 to 30 mins"/>
    <x v="2"/>
    <s v="Happy"/>
    <x v="1"/>
    <n v="30"/>
    <x v="0"/>
  </r>
  <r>
    <x v="418"/>
    <x v="2"/>
    <n v="66"/>
    <x v="1"/>
    <x v="108"/>
    <n v="102"/>
    <n v="3.8"/>
    <n v="2023"/>
    <x v="2"/>
    <s v="1 to 2 hours"/>
    <x v="2"/>
    <s v="Happy"/>
    <x v="0"/>
    <n v="37"/>
    <x v="1"/>
  </r>
  <r>
    <x v="419"/>
    <x v="5"/>
    <n v="126"/>
    <x v="2"/>
    <x v="109"/>
    <n v="175"/>
    <n v="4.8"/>
    <n v="2023"/>
    <x v="3"/>
    <s v="More than 2 hours"/>
    <x v="0"/>
    <s v="Happy"/>
    <x v="1"/>
    <n v="22"/>
    <x v="2"/>
  </r>
  <r>
    <x v="420"/>
    <x v="12"/>
    <n v="26"/>
    <x v="0"/>
    <x v="109"/>
    <n v="87"/>
    <n v="4.7"/>
    <n v="2023"/>
    <x v="3"/>
    <s v="10 to 30 mins"/>
    <x v="0"/>
    <s v="Happy"/>
    <x v="1"/>
    <n v="28"/>
    <x v="0"/>
  </r>
  <r>
    <x v="421"/>
    <x v="8"/>
    <n v="105"/>
    <x v="2"/>
    <x v="109"/>
    <n v="66"/>
    <n v="4.2"/>
    <n v="2023"/>
    <x v="3"/>
    <s v="1 to 2 hours"/>
    <x v="2"/>
    <s v="Happy"/>
    <x v="0"/>
    <n v="31"/>
    <x v="2"/>
  </r>
  <r>
    <x v="422"/>
    <x v="8"/>
    <n v="31"/>
    <x v="2"/>
    <x v="109"/>
    <n v="25"/>
    <n v="3.2"/>
    <n v="2023"/>
    <x v="3"/>
    <s v="30 to 60 mins"/>
    <x v="1"/>
    <b v="0"/>
    <x v="0"/>
    <n v="31"/>
    <x v="2"/>
  </r>
  <r>
    <x v="423"/>
    <x v="2"/>
    <n v="109"/>
    <x v="1"/>
    <x v="109"/>
    <n v="126"/>
    <n v="3.4"/>
    <n v="2023"/>
    <x v="3"/>
    <s v="1 to 2 hours"/>
    <x v="1"/>
    <b v="0"/>
    <x v="0"/>
    <n v="37"/>
    <x v="1"/>
  </r>
  <r>
    <x v="424"/>
    <x v="0"/>
    <n v="113"/>
    <x v="3"/>
    <x v="110"/>
    <n v="42"/>
    <n v="4.5999999999999996"/>
    <n v="2023"/>
    <x v="4"/>
    <s v="1 to 2 hours"/>
    <x v="0"/>
    <s v="Happy"/>
    <x v="0"/>
    <n v="26"/>
    <x v="0"/>
  </r>
  <r>
    <x v="425"/>
    <x v="5"/>
    <n v="101"/>
    <x v="0"/>
    <x v="110"/>
    <n v="225"/>
    <n v="1.9"/>
    <n v="2023"/>
    <x v="4"/>
    <s v="1 to 2 hours"/>
    <x v="3"/>
    <b v="0"/>
    <x v="1"/>
    <n v="22"/>
    <x v="2"/>
  </r>
  <r>
    <x v="426"/>
    <x v="3"/>
    <n v="156"/>
    <x v="0"/>
    <x v="110"/>
    <n v="42"/>
    <n v="3.3"/>
    <n v="2023"/>
    <x v="4"/>
    <s v="More than 2 hours"/>
    <x v="1"/>
    <b v="0"/>
    <x v="1"/>
    <n v="38"/>
    <x v="1"/>
  </r>
  <r>
    <x v="427"/>
    <x v="2"/>
    <n v="145"/>
    <x v="3"/>
    <x v="111"/>
    <n v="110"/>
    <n v="3.1"/>
    <n v="2023"/>
    <x v="5"/>
    <s v="More than 2 hours"/>
    <x v="1"/>
    <b v="0"/>
    <x v="0"/>
    <n v="37"/>
    <x v="1"/>
  </r>
  <r>
    <x v="428"/>
    <x v="10"/>
    <n v="36"/>
    <x v="1"/>
    <x v="111"/>
    <n v="225"/>
    <n v="4.8"/>
    <n v="2023"/>
    <x v="5"/>
    <s v="30 to 60 mins"/>
    <x v="0"/>
    <s v="Happy"/>
    <x v="0"/>
    <n v="23"/>
    <x v="1"/>
  </r>
  <r>
    <x v="429"/>
    <x v="8"/>
    <n v="135"/>
    <x v="4"/>
    <x v="112"/>
    <n v="125"/>
    <n v="3.3"/>
    <n v="2023"/>
    <x v="6"/>
    <s v="More than 2 hours"/>
    <x v="1"/>
    <b v="0"/>
    <x v="0"/>
    <n v="31"/>
    <x v="2"/>
  </r>
  <r>
    <x v="430"/>
    <x v="5"/>
    <n v="81"/>
    <x v="1"/>
    <x v="112"/>
    <n v="78"/>
    <n v="2.9"/>
    <n v="2023"/>
    <x v="6"/>
    <s v="1 to 2 hours"/>
    <x v="1"/>
    <b v="0"/>
    <x v="1"/>
    <n v="22"/>
    <x v="2"/>
  </r>
  <r>
    <x v="431"/>
    <x v="5"/>
    <n v="81"/>
    <x v="3"/>
    <x v="112"/>
    <n v="40"/>
    <n v="2.4"/>
    <n v="2023"/>
    <x v="6"/>
    <s v="1 to 2 hours"/>
    <x v="3"/>
    <b v="0"/>
    <x v="1"/>
    <n v="22"/>
    <x v="2"/>
  </r>
  <r>
    <x v="432"/>
    <x v="9"/>
    <n v="93"/>
    <x v="2"/>
    <x v="112"/>
    <n v="150"/>
    <n v="4.5999999999999996"/>
    <n v="2023"/>
    <x v="6"/>
    <s v="1 to 2 hours"/>
    <x v="0"/>
    <s v="Happy"/>
    <x v="1"/>
    <n v="25"/>
    <x v="1"/>
  </r>
  <r>
    <x v="433"/>
    <x v="2"/>
    <n v="14"/>
    <x v="1"/>
    <x v="112"/>
    <n v="96"/>
    <n v="4.8"/>
    <n v="2023"/>
    <x v="6"/>
    <s v="10 to 30 mins"/>
    <x v="0"/>
    <s v="Happy"/>
    <x v="0"/>
    <n v="37"/>
    <x v="1"/>
  </r>
  <r>
    <x v="434"/>
    <x v="8"/>
    <n v="95"/>
    <x v="3"/>
    <x v="113"/>
    <n v="75"/>
    <n v="4.8"/>
    <n v="2023"/>
    <x v="0"/>
    <s v="1 to 2 hours"/>
    <x v="0"/>
    <s v="Happy"/>
    <x v="0"/>
    <n v="31"/>
    <x v="2"/>
  </r>
  <r>
    <x v="435"/>
    <x v="9"/>
    <n v="81"/>
    <x v="3"/>
    <x v="113"/>
    <n v="60"/>
    <n v="3.6"/>
    <n v="2023"/>
    <x v="0"/>
    <s v="1 to 2 hours"/>
    <x v="2"/>
    <s v="Happy"/>
    <x v="1"/>
    <n v="25"/>
    <x v="1"/>
  </r>
  <r>
    <x v="436"/>
    <x v="14"/>
    <n v="60"/>
    <x v="1"/>
    <x v="114"/>
    <n v="41"/>
    <n v="4.8"/>
    <n v="2023"/>
    <x v="1"/>
    <s v="30 to 60 mins"/>
    <x v="0"/>
    <s v="Happy"/>
    <x v="1"/>
    <n v="42"/>
    <x v="2"/>
  </r>
  <r>
    <x v="437"/>
    <x v="7"/>
    <n v="137"/>
    <x v="2"/>
    <x v="114"/>
    <n v="20"/>
    <n v="4.2"/>
    <n v="2023"/>
    <x v="1"/>
    <s v="More than 2 hours"/>
    <x v="2"/>
    <s v="Happy"/>
    <x v="1"/>
    <n v="37"/>
    <x v="2"/>
  </r>
  <r>
    <x v="438"/>
    <x v="1"/>
    <n v="112"/>
    <x v="4"/>
    <x v="114"/>
    <n v="84"/>
    <n v="2.6"/>
    <n v="2023"/>
    <x v="1"/>
    <s v="1 to 2 hours"/>
    <x v="1"/>
    <b v="0"/>
    <x v="0"/>
    <n v="36"/>
    <x v="0"/>
  </r>
  <r>
    <x v="439"/>
    <x v="8"/>
    <n v="76"/>
    <x v="0"/>
    <x v="114"/>
    <n v="140"/>
    <n v="3.7"/>
    <n v="2023"/>
    <x v="1"/>
    <s v="1 to 2 hours"/>
    <x v="2"/>
    <s v="Happy"/>
    <x v="0"/>
    <n v="31"/>
    <x v="2"/>
  </r>
  <r>
    <x v="440"/>
    <x v="11"/>
    <n v="73"/>
    <x v="1"/>
    <x v="114"/>
    <n v="66"/>
    <n v="4.8"/>
    <n v="2023"/>
    <x v="1"/>
    <s v="1 to 2 hours"/>
    <x v="0"/>
    <s v="Happy"/>
    <x v="1"/>
    <n v="43"/>
    <x v="2"/>
  </r>
  <r>
    <x v="441"/>
    <x v="6"/>
    <n v="119"/>
    <x v="2"/>
    <x v="114"/>
    <n v="105"/>
    <n v="4.7"/>
    <n v="2023"/>
    <x v="1"/>
    <s v="1 to 2 hours"/>
    <x v="0"/>
    <s v="Happy"/>
    <x v="1"/>
    <n v="30"/>
    <x v="2"/>
  </r>
  <r>
    <x v="442"/>
    <x v="0"/>
    <n v="135"/>
    <x v="3"/>
    <x v="115"/>
    <n v="104"/>
    <n v="4.0999999999999996"/>
    <n v="2023"/>
    <x v="2"/>
    <s v="More than 2 hours"/>
    <x v="2"/>
    <s v="Happy"/>
    <x v="0"/>
    <n v="26"/>
    <x v="0"/>
  </r>
  <r>
    <x v="443"/>
    <x v="7"/>
    <n v="41"/>
    <x v="4"/>
    <x v="115"/>
    <n v="123"/>
    <n v="3.2"/>
    <n v="2023"/>
    <x v="2"/>
    <s v="30 to 60 mins"/>
    <x v="1"/>
    <b v="0"/>
    <x v="1"/>
    <n v="37"/>
    <x v="2"/>
  </r>
  <r>
    <x v="444"/>
    <x v="2"/>
    <n v="35"/>
    <x v="3"/>
    <x v="116"/>
    <n v="215"/>
    <n v="4.3"/>
    <n v="2023"/>
    <x v="3"/>
    <s v="30 to 60 mins"/>
    <x v="2"/>
    <s v="Happy"/>
    <x v="0"/>
    <n v="37"/>
    <x v="1"/>
  </r>
  <r>
    <x v="445"/>
    <x v="0"/>
    <n v="96"/>
    <x v="1"/>
    <x v="116"/>
    <n v="46"/>
    <n v="0.7"/>
    <n v="2023"/>
    <x v="3"/>
    <s v="1 to 2 hours"/>
    <x v="5"/>
    <b v="0"/>
    <x v="0"/>
    <n v="26"/>
    <x v="0"/>
  </r>
  <r>
    <x v="446"/>
    <x v="9"/>
    <n v="61"/>
    <x v="4"/>
    <x v="116"/>
    <n v="115"/>
    <n v="3.7"/>
    <n v="2023"/>
    <x v="3"/>
    <s v="1 to 2 hours"/>
    <x v="2"/>
    <s v="Happy"/>
    <x v="1"/>
    <n v="25"/>
    <x v="1"/>
  </r>
  <r>
    <x v="447"/>
    <x v="0"/>
    <n v="91"/>
    <x v="4"/>
    <x v="116"/>
    <n v="124"/>
    <n v="3.9"/>
    <n v="2023"/>
    <x v="3"/>
    <s v="1 to 2 hours"/>
    <x v="2"/>
    <s v="Happy"/>
    <x v="0"/>
    <n v="26"/>
    <x v="0"/>
  </r>
  <r>
    <x v="448"/>
    <x v="13"/>
    <n v="30"/>
    <x v="4"/>
    <x v="117"/>
    <n v="205"/>
    <n v="4.5"/>
    <n v="2023"/>
    <x v="4"/>
    <s v="10 to 30 mins"/>
    <x v="0"/>
    <s v="Happy"/>
    <x v="0"/>
    <n v="41"/>
    <x v="1"/>
  </r>
  <r>
    <x v="449"/>
    <x v="14"/>
    <n v="111"/>
    <x v="2"/>
    <x v="117"/>
    <n v="90"/>
    <n v="2.8"/>
    <n v="2023"/>
    <x v="4"/>
    <s v="1 to 2 hours"/>
    <x v="1"/>
    <b v="0"/>
    <x v="1"/>
    <n v="42"/>
    <x v="2"/>
  </r>
  <r>
    <x v="450"/>
    <x v="9"/>
    <n v="81"/>
    <x v="1"/>
    <x v="117"/>
    <n v="92"/>
    <n v="4.9000000000000004"/>
    <n v="2023"/>
    <x v="4"/>
    <s v="1 to 2 hours"/>
    <x v="0"/>
    <s v="Happy"/>
    <x v="1"/>
    <n v="25"/>
    <x v="1"/>
  </r>
  <r>
    <x v="451"/>
    <x v="8"/>
    <n v="40"/>
    <x v="3"/>
    <x v="118"/>
    <n v="108"/>
    <n v="4.2"/>
    <n v="2023"/>
    <x v="6"/>
    <s v="30 to 60 mins"/>
    <x v="2"/>
    <s v="Happy"/>
    <x v="0"/>
    <n v="31"/>
    <x v="2"/>
  </r>
  <r>
    <x v="452"/>
    <x v="14"/>
    <n v="143"/>
    <x v="3"/>
    <x v="118"/>
    <n v="54"/>
    <n v="4.4000000000000004"/>
    <n v="2023"/>
    <x v="6"/>
    <s v="More than 2 hours"/>
    <x v="2"/>
    <s v="Happy"/>
    <x v="1"/>
    <n v="42"/>
    <x v="2"/>
  </r>
  <r>
    <x v="453"/>
    <x v="8"/>
    <n v="70"/>
    <x v="3"/>
    <x v="119"/>
    <n v="44"/>
    <n v="3.5"/>
    <n v="2023"/>
    <x v="0"/>
    <s v="1 to 2 hours"/>
    <x v="2"/>
    <s v="Happy"/>
    <x v="0"/>
    <n v="31"/>
    <x v="2"/>
  </r>
  <r>
    <x v="454"/>
    <x v="11"/>
    <n v="137"/>
    <x v="3"/>
    <x v="119"/>
    <n v="44"/>
    <n v="4.7"/>
    <n v="2023"/>
    <x v="0"/>
    <s v="More than 2 hours"/>
    <x v="0"/>
    <s v="Happy"/>
    <x v="1"/>
    <n v="43"/>
    <x v="2"/>
  </r>
  <r>
    <x v="455"/>
    <x v="0"/>
    <n v="52"/>
    <x v="1"/>
    <x v="120"/>
    <n v="37"/>
    <n v="4.9000000000000004"/>
    <n v="2023"/>
    <x v="1"/>
    <s v="30 to 60 mins"/>
    <x v="0"/>
    <s v="Happy"/>
    <x v="0"/>
    <n v="26"/>
    <x v="0"/>
  </r>
  <r>
    <x v="456"/>
    <x v="1"/>
    <n v="31"/>
    <x v="2"/>
    <x v="120"/>
    <n v="180"/>
    <n v="4.5"/>
    <n v="2023"/>
    <x v="1"/>
    <s v="30 to 60 mins"/>
    <x v="0"/>
    <s v="Happy"/>
    <x v="0"/>
    <n v="36"/>
    <x v="0"/>
  </r>
  <r>
    <x v="457"/>
    <x v="0"/>
    <n v="114"/>
    <x v="4"/>
    <x v="120"/>
    <n v="105"/>
    <n v="4.9000000000000004"/>
    <n v="2023"/>
    <x v="1"/>
    <s v="1 to 2 hours"/>
    <x v="0"/>
    <s v="Happy"/>
    <x v="0"/>
    <n v="26"/>
    <x v="0"/>
  </r>
  <r>
    <x v="458"/>
    <x v="11"/>
    <n v="73"/>
    <x v="0"/>
    <x v="120"/>
    <n v="87"/>
    <n v="3.6"/>
    <n v="2023"/>
    <x v="1"/>
    <s v="1 to 2 hours"/>
    <x v="2"/>
    <s v="Happy"/>
    <x v="1"/>
    <n v="43"/>
    <x v="2"/>
  </r>
  <r>
    <x v="459"/>
    <x v="9"/>
    <n v="25"/>
    <x v="2"/>
    <x v="120"/>
    <n v="52"/>
    <n v="3.8"/>
    <n v="2023"/>
    <x v="1"/>
    <s v="10 to 30 mins"/>
    <x v="2"/>
    <s v="Happy"/>
    <x v="1"/>
    <n v="25"/>
    <x v="1"/>
  </r>
  <r>
    <x v="460"/>
    <x v="4"/>
    <n v="44"/>
    <x v="4"/>
    <x v="120"/>
    <n v="63"/>
    <n v="3.5"/>
    <n v="2023"/>
    <x v="1"/>
    <s v="30 to 60 mins"/>
    <x v="2"/>
    <s v="Happy"/>
    <x v="1"/>
    <n v="30"/>
    <x v="0"/>
  </r>
  <r>
    <x v="461"/>
    <x v="10"/>
    <n v="34"/>
    <x v="1"/>
    <x v="121"/>
    <n v="195"/>
    <n v="4.8"/>
    <n v="2023"/>
    <x v="2"/>
    <s v="30 to 60 mins"/>
    <x v="0"/>
    <s v="Happy"/>
    <x v="0"/>
    <n v="23"/>
    <x v="1"/>
  </r>
  <r>
    <x v="462"/>
    <x v="14"/>
    <n v="89"/>
    <x v="3"/>
    <x v="122"/>
    <n v="176"/>
    <n v="4.5"/>
    <n v="2023"/>
    <x v="3"/>
    <s v="1 to 2 hours"/>
    <x v="0"/>
    <s v="Happy"/>
    <x v="1"/>
    <n v="42"/>
    <x v="2"/>
  </r>
  <r>
    <x v="463"/>
    <x v="6"/>
    <n v="54"/>
    <x v="2"/>
    <x v="123"/>
    <n v="31"/>
    <n v="3.3"/>
    <n v="2023"/>
    <x v="4"/>
    <s v="30 to 60 mins"/>
    <x v="1"/>
    <b v="0"/>
    <x v="1"/>
    <n v="30"/>
    <x v="2"/>
  </r>
  <r>
    <x v="464"/>
    <x v="2"/>
    <n v="25"/>
    <x v="2"/>
    <x v="124"/>
    <n v="27"/>
    <n v="3.2"/>
    <n v="2023"/>
    <x v="5"/>
    <s v="10 to 30 mins"/>
    <x v="1"/>
    <b v="0"/>
    <x v="0"/>
    <n v="37"/>
    <x v="1"/>
  </r>
  <r>
    <x v="465"/>
    <x v="7"/>
    <n v="91"/>
    <x v="3"/>
    <x v="124"/>
    <n v="76"/>
    <n v="4.9000000000000004"/>
    <n v="2023"/>
    <x v="5"/>
    <s v="1 to 2 hours"/>
    <x v="0"/>
    <s v="Happy"/>
    <x v="1"/>
    <n v="37"/>
    <x v="2"/>
  </r>
  <r>
    <x v="466"/>
    <x v="4"/>
    <n v="144"/>
    <x v="4"/>
    <x v="124"/>
    <n v="62"/>
    <n v="4.8"/>
    <n v="2023"/>
    <x v="5"/>
    <s v="More than 2 hours"/>
    <x v="0"/>
    <s v="Happy"/>
    <x v="1"/>
    <n v="30"/>
    <x v="0"/>
  </r>
  <r>
    <x v="467"/>
    <x v="7"/>
    <n v="81"/>
    <x v="1"/>
    <x v="125"/>
    <n v="100"/>
    <n v="1.3"/>
    <n v="2023"/>
    <x v="0"/>
    <s v="1 to 2 hours"/>
    <x v="5"/>
    <b v="0"/>
    <x v="1"/>
    <n v="37"/>
    <x v="2"/>
  </r>
  <r>
    <x v="468"/>
    <x v="13"/>
    <n v="92"/>
    <x v="2"/>
    <x v="125"/>
    <n v="44"/>
    <n v="3.1"/>
    <n v="2023"/>
    <x v="0"/>
    <s v="1 to 2 hours"/>
    <x v="1"/>
    <b v="0"/>
    <x v="0"/>
    <n v="41"/>
    <x v="1"/>
  </r>
  <r>
    <x v="469"/>
    <x v="2"/>
    <n v="115"/>
    <x v="3"/>
    <x v="125"/>
    <n v="168"/>
    <n v="3.4"/>
    <n v="2023"/>
    <x v="0"/>
    <s v="1 to 2 hours"/>
    <x v="1"/>
    <b v="0"/>
    <x v="0"/>
    <n v="37"/>
    <x v="1"/>
  </r>
  <r>
    <x v="470"/>
    <x v="5"/>
    <n v="56"/>
    <x v="3"/>
    <x v="126"/>
    <n v="200"/>
    <n v="4.5999999999999996"/>
    <n v="2023"/>
    <x v="1"/>
    <s v="30 to 60 mins"/>
    <x v="0"/>
    <s v="Happy"/>
    <x v="1"/>
    <n v="22"/>
    <x v="2"/>
  </r>
  <r>
    <x v="471"/>
    <x v="1"/>
    <n v="154"/>
    <x v="2"/>
    <x v="126"/>
    <n v="84"/>
    <n v="4.3"/>
    <n v="2023"/>
    <x v="1"/>
    <s v="More than 2 hours"/>
    <x v="2"/>
    <s v="Happy"/>
    <x v="0"/>
    <n v="36"/>
    <x v="0"/>
  </r>
  <r>
    <x v="472"/>
    <x v="14"/>
    <n v="51"/>
    <x v="3"/>
    <x v="127"/>
    <n v="117"/>
    <n v="2.7"/>
    <n v="2023"/>
    <x v="2"/>
    <s v="30 to 60 mins"/>
    <x v="1"/>
    <b v="0"/>
    <x v="1"/>
    <n v="42"/>
    <x v="2"/>
  </r>
  <r>
    <x v="473"/>
    <x v="10"/>
    <n v="21"/>
    <x v="1"/>
    <x v="127"/>
    <n v="63"/>
    <n v="4.2"/>
    <n v="2023"/>
    <x v="2"/>
    <s v="10 to 30 mins"/>
    <x v="2"/>
    <s v="Happy"/>
    <x v="0"/>
    <n v="23"/>
    <x v="1"/>
  </r>
  <r>
    <x v="474"/>
    <x v="2"/>
    <n v="80"/>
    <x v="3"/>
    <x v="128"/>
    <n v="145"/>
    <n v="4.9000000000000004"/>
    <n v="2023"/>
    <x v="3"/>
    <s v="1 to 2 hours"/>
    <x v="0"/>
    <s v="Happy"/>
    <x v="0"/>
    <n v="37"/>
    <x v="1"/>
  </r>
  <r>
    <x v="475"/>
    <x v="14"/>
    <n v="139"/>
    <x v="2"/>
    <x v="128"/>
    <n v="220"/>
    <n v="3.2"/>
    <n v="2023"/>
    <x v="3"/>
    <s v="More than 2 hours"/>
    <x v="1"/>
    <b v="0"/>
    <x v="1"/>
    <n v="42"/>
    <x v="2"/>
  </r>
  <r>
    <x v="476"/>
    <x v="8"/>
    <n v="50"/>
    <x v="1"/>
    <x v="128"/>
    <n v="26"/>
    <n v="4.7"/>
    <n v="2023"/>
    <x v="3"/>
    <s v="30 to 60 mins"/>
    <x v="0"/>
    <s v="Happy"/>
    <x v="0"/>
    <n v="31"/>
    <x v="2"/>
  </r>
  <r>
    <x v="477"/>
    <x v="2"/>
    <n v="88"/>
    <x v="3"/>
    <x v="128"/>
    <n v="78"/>
    <n v="4.3"/>
    <n v="2023"/>
    <x v="3"/>
    <s v="1 to 2 hours"/>
    <x v="2"/>
    <s v="Happy"/>
    <x v="0"/>
    <n v="37"/>
    <x v="1"/>
  </r>
  <r>
    <x v="478"/>
    <x v="6"/>
    <n v="19"/>
    <x v="4"/>
    <x v="129"/>
    <n v="132"/>
    <n v="4.3"/>
    <n v="2023"/>
    <x v="4"/>
    <s v="10 to 30 mins"/>
    <x v="2"/>
    <s v="Happy"/>
    <x v="1"/>
    <n v="30"/>
    <x v="2"/>
  </r>
  <r>
    <x v="479"/>
    <x v="9"/>
    <n v="104"/>
    <x v="4"/>
    <x v="130"/>
    <n v="68"/>
    <n v="3.7"/>
    <n v="2023"/>
    <x v="5"/>
    <s v="1 to 2 hours"/>
    <x v="2"/>
    <s v="Happy"/>
    <x v="1"/>
    <n v="25"/>
    <x v="1"/>
  </r>
  <r>
    <x v="480"/>
    <x v="1"/>
    <n v="67"/>
    <x v="2"/>
    <x v="131"/>
    <n v="129"/>
    <n v="4.7"/>
    <n v="2023"/>
    <x v="0"/>
    <s v="1 to 2 hours"/>
    <x v="0"/>
    <s v="Happy"/>
    <x v="0"/>
    <n v="36"/>
    <x v="0"/>
  </r>
  <r>
    <x v="481"/>
    <x v="12"/>
    <n v="107"/>
    <x v="4"/>
    <x v="131"/>
    <n v="115"/>
    <n v="4.9000000000000004"/>
    <n v="2023"/>
    <x v="0"/>
    <s v="1 to 2 hours"/>
    <x v="0"/>
    <s v="Happy"/>
    <x v="1"/>
    <n v="28"/>
    <x v="0"/>
  </r>
  <r>
    <x v="482"/>
    <x v="12"/>
    <n v="93"/>
    <x v="4"/>
    <x v="131"/>
    <n v="128"/>
    <n v="3.9"/>
    <n v="2023"/>
    <x v="0"/>
    <s v="1 to 2 hours"/>
    <x v="2"/>
    <s v="Happy"/>
    <x v="1"/>
    <n v="28"/>
    <x v="0"/>
  </r>
  <r>
    <x v="483"/>
    <x v="12"/>
    <n v="117"/>
    <x v="2"/>
    <x v="131"/>
    <n v="90"/>
    <n v="4.5"/>
    <n v="2023"/>
    <x v="0"/>
    <s v="1 to 2 hours"/>
    <x v="0"/>
    <s v="Happy"/>
    <x v="1"/>
    <n v="28"/>
    <x v="0"/>
  </r>
  <r>
    <x v="484"/>
    <x v="8"/>
    <n v="76"/>
    <x v="3"/>
    <x v="132"/>
    <n v="39"/>
    <n v="4.5999999999999996"/>
    <n v="2023"/>
    <x v="1"/>
    <s v="1 to 2 hours"/>
    <x v="0"/>
    <s v="Happy"/>
    <x v="0"/>
    <n v="31"/>
    <x v="2"/>
  </r>
  <r>
    <x v="485"/>
    <x v="6"/>
    <n v="64"/>
    <x v="4"/>
    <x v="132"/>
    <n v="132"/>
    <n v="3.3"/>
    <n v="2023"/>
    <x v="1"/>
    <s v="1 to 2 hours"/>
    <x v="1"/>
    <b v="0"/>
    <x v="1"/>
    <n v="30"/>
    <x v="2"/>
  </r>
  <r>
    <x v="486"/>
    <x v="4"/>
    <n v="33"/>
    <x v="4"/>
    <x v="132"/>
    <n v="170"/>
    <n v="3.8"/>
    <n v="2023"/>
    <x v="1"/>
    <s v="30 to 60 mins"/>
    <x v="2"/>
    <s v="Happy"/>
    <x v="1"/>
    <n v="30"/>
    <x v="0"/>
  </r>
  <r>
    <x v="487"/>
    <x v="12"/>
    <n v="115"/>
    <x v="2"/>
    <x v="132"/>
    <n v="42"/>
    <n v="4.7"/>
    <n v="2023"/>
    <x v="1"/>
    <s v="1 to 2 hours"/>
    <x v="0"/>
    <s v="Happy"/>
    <x v="1"/>
    <n v="28"/>
    <x v="0"/>
  </r>
  <r>
    <x v="488"/>
    <x v="3"/>
    <n v="155"/>
    <x v="3"/>
    <x v="133"/>
    <n v="37"/>
    <n v="4"/>
    <n v="2023"/>
    <x v="2"/>
    <s v="More than 2 hours"/>
    <x v="2"/>
    <s v="Happy"/>
    <x v="1"/>
    <n v="38"/>
    <x v="1"/>
  </r>
  <r>
    <x v="489"/>
    <x v="1"/>
    <n v="117"/>
    <x v="3"/>
    <x v="133"/>
    <n v="88"/>
    <n v="4.7"/>
    <n v="2023"/>
    <x v="2"/>
    <s v="1 to 2 hours"/>
    <x v="0"/>
    <s v="Happy"/>
    <x v="0"/>
    <n v="36"/>
    <x v="0"/>
  </r>
  <r>
    <x v="490"/>
    <x v="14"/>
    <n v="63"/>
    <x v="3"/>
    <x v="133"/>
    <n v="80"/>
    <n v="2.5"/>
    <n v="2023"/>
    <x v="2"/>
    <s v="1 to 2 hours"/>
    <x v="1"/>
    <b v="0"/>
    <x v="1"/>
    <n v="42"/>
    <x v="2"/>
  </r>
  <r>
    <x v="491"/>
    <x v="6"/>
    <n v="59"/>
    <x v="0"/>
    <x v="134"/>
    <n v="123"/>
    <n v="3.6"/>
    <n v="2023"/>
    <x v="3"/>
    <s v="30 to 60 mins"/>
    <x v="2"/>
    <s v="Happy"/>
    <x v="1"/>
    <n v="30"/>
    <x v="2"/>
  </r>
  <r>
    <x v="492"/>
    <x v="10"/>
    <n v="133"/>
    <x v="4"/>
    <x v="134"/>
    <n v="31"/>
    <n v="3.7"/>
    <n v="2023"/>
    <x v="3"/>
    <s v="More than 2 hours"/>
    <x v="2"/>
    <s v="Happy"/>
    <x v="0"/>
    <n v="23"/>
    <x v="1"/>
  </r>
  <r>
    <x v="493"/>
    <x v="13"/>
    <n v="101"/>
    <x v="1"/>
    <x v="134"/>
    <n v="205"/>
    <n v="3.9"/>
    <n v="2023"/>
    <x v="3"/>
    <s v="1 to 2 hours"/>
    <x v="2"/>
    <s v="Happy"/>
    <x v="0"/>
    <n v="41"/>
    <x v="1"/>
  </r>
  <r>
    <x v="494"/>
    <x v="7"/>
    <n v="151"/>
    <x v="3"/>
    <x v="135"/>
    <n v="123"/>
    <n v="3.7"/>
    <n v="2023"/>
    <x v="4"/>
    <s v="More than 2 hours"/>
    <x v="2"/>
    <s v="Happy"/>
    <x v="1"/>
    <n v="37"/>
    <x v="2"/>
  </r>
  <r>
    <x v="495"/>
    <x v="4"/>
    <n v="146"/>
    <x v="4"/>
    <x v="135"/>
    <n v="123"/>
    <n v="4.3"/>
    <n v="2023"/>
    <x v="4"/>
    <s v="More than 2 hours"/>
    <x v="2"/>
    <s v="Happy"/>
    <x v="1"/>
    <n v="30"/>
    <x v="0"/>
  </r>
  <r>
    <x v="496"/>
    <x v="14"/>
    <n v="148"/>
    <x v="4"/>
    <x v="135"/>
    <n v="36"/>
    <n v="2.9"/>
    <n v="2023"/>
    <x v="4"/>
    <s v="More than 2 hours"/>
    <x v="1"/>
    <b v="0"/>
    <x v="1"/>
    <n v="42"/>
    <x v="2"/>
  </r>
  <r>
    <x v="497"/>
    <x v="7"/>
    <n v="81"/>
    <x v="4"/>
    <x v="135"/>
    <n v="116"/>
    <n v="4.3"/>
    <n v="2023"/>
    <x v="4"/>
    <s v="1 to 2 hours"/>
    <x v="2"/>
    <s v="Happy"/>
    <x v="1"/>
    <n v="37"/>
    <x v="2"/>
  </r>
  <r>
    <x v="498"/>
    <x v="9"/>
    <n v="115"/>
    <x v="4"/>
    <x v="135"/>
    <n v="40"/>
    <n v="4.9000000000000004"/>
    <n v="2023"/>
    <x v="4"/>
    <s v="1 to 2 hours"/>
    <x v="0"/>
    <s v="Happy"/>
    <x v="1"/>
    <n v="25"/>
    <x v="1"/>
  </r>
  <r>
    <x v="499"/>
    <x v="9"/>
    <n v="117"/>
    <x v="3"/>
    <x v="135"/>
    <n v="40"/>
    <n v="4"/>
    <n v="2023"/>
    <x v="4"/>
    <s v="1 to 2 hours"/>
    <x v="2"/>
    <s v="Happy"/>
    <x v="1"/>
    <n v="25"/>
    <x v="1"/>
  </r>
  <r>
    <x v="500"/>
    <x v="13"/>
    <n v="110"/>
    <x v="2"/>
    <x v="136"/>
    <n v="82"/>
    <n v="4"/>
    <n v="2023"/>
    <x v="5"/>
    <s v="1 to 2 hours"/>
    <x v="2"/>
    <s v="Happy"/>
    <x v="0"/>
    <n v="41"/>
    <x v="1"/>
  </r>
  <r>
    <x v="501"/>
    <x v="8"/>
    <n v="103"/>
    <x v="0"/>
    <x v="136"/>
    <n v="62"/>
    <n v="3.4"/>
    <n v="2023"/>
    <x v="5"/>
    <s v="1 to 2 hours"/>
    <x v="1"/>
    <b v="0"/>
    <x v="0"/>
    <n v="31"/>
    <x v="2"/>
  </r>
  <r>
    <x v="502"/>
    <x v="3"/>
    <n v="45"/>
    <x v="0"/>
    <x v="136"/>
    <n v="135"/>
    <n v="3.9"/>
    <n v="2023"/>
    <x v="5"/>
    <s v="30 to 60 mins"/>
    <x v="2"/>
    <s v="Happy"/>
    <x v="1"/>
    <n v="38"/>
    <x v="1"/>
  </r>
  <r>
    <x v="503"/>
    <x v="13"/>
    <n v="110"/>
    <x v="1"/>
    <x v="136"/>
    <n v="155"/>
    <n v="2.1"/>
    <n v="2023"/>
    <x v="5"/>
    <s v="1 to 2 hours"/>
    <x v="3"/>
    <b v="0"/>
    <x v="0"/>
    <n v="41"/>
    <x v="1"/>
  </r>
  <r>
    <x v="504"/>
    <x v="6"/>
    <n v="43"/>
    <x v="2"/>
    <x v="136"/>
    <n v="37"/>
    <n v="4.9000000000000004"/>
    <n v="2023"/>
    <x v="5"/>
    <s v="30 to 60 mins"/>
    <x v="0"/>
    <s v="Happy"/>
    <x v="1"/>
    <n v="30"/>
    <x v="2"/>
  </r>
  <r>
    <x v="505"/>
    <x v="13"/>
    <n v="104"/>
    <x v="3"/>
    <x v="137"/>
    <n v="56"/>
    <n v="3.4"/>
    <n v="2023"/>
    <x v="6"/>
    <s v="1 to 2 hours"/>
    <x v="1"/>
    <b v="0"/>
    <x v="0"/>
    <n v="41"/>
    <x v="1"/>
  </r>
  <r>
    <x v="506"/>
    <x v="13"/>
    <n v="101"/>
    <x v="3"/>
    <x v="137"/>
    <n v="185"/>
    <n v="5"/>
    <n v="2023"/>
    <x v="6"/>
    <s v="1 to 2 hours"/>
    <x v="0"/>
    <s v="Happy"/>
    <x v="0"/>
    <n v="41"/>
    <x v="1"/>
  </r>
  <r>
    <x v="507"/>
    <x v="0"/>
    <n v="55"/>
    <x v="2"/>
    <x v="138"/>
    <n v="145"/>
    <n v="4.5"/>
    <n v="2023"/>
    <x v="0"/>
    <s v="30 to 60 mins"/>
    <x v="0"/>
    <s v="Happy"/>
    <x v="0"/>
    <n v="26"/>
    <x v="0"/>
  </r>
  <r>
    <x v="508"/>
    <x v="7"/>
    <n v="40"/>
    <x v="0"/>
    <x v="138"/>
    <n v="116"/>
    <n v="2.6"/>
    <n v="2023"/>
    <x v="0"/>
    <s v="30 to 60 mins"/>
    <x v="1"/>
    <b v="0"/>
    <x v="1"/>
    <n v="37"/>
    <x v="2"/>
  </r>
  <r>
    <x v="509"/>
    <x v="6"/>
    <n v="122"/>
    <x v="4"/>
    <x v="138"/>
    <n v="45"/>
    <n v="4.2"/>
    <n v="2023"/>
    <x v="0"/>
    <s v="More than 2 hours"/>
    <x v="2"/>
    <s v="Happy"/>
    <x v="1"/>
    <n v="30"/>
    <x v="2"/>
  </r>
  <r>
    <x v="510"/>
    <x v="4"/>
    <n v="98"/>
    <x v="3"/>
    <x v="139"/>
    <n v="35"/>
    <n v="4.5"/>
    <n v="2023"/>
    <x v="1"/>
    <s v="1 to 2 hours"/>
    <x v="0"/>
    <s v="Happy"/>
    <x v="1"/>
    <n v="30"/>
    <x v="0"/>
  </r>
  <r>
    <x v="511"/>
    <x v="9"/>
    <n v="110"/>
    <x v="0"/>
    <x v="139"/>
    <n v="100"/>
    <n v="4.4000000000000004"/>
    <n v="2023"/>
    <x v="1"/>
    <s v="1 to 2 hours"/>
    <x v="2"/>
    <s v="Happy"/>
    <x v="1"/>
    <n v="25"/>
    <x v="1"/>
  </r>
  <r>
    <x v="512"/>
    <x v="9"/>
    <n v="62"/>
    <x v="2"/>
    <x v="140"/>
    <n v="125"/>
    <n v="3.5"/>
    <n v="2023"/>
    <x v="2"/>
    <s v="1 to 2 hours"/>
    <x v="2"/>
    <s v="Happy"/>
    <x v="1"/>
    <n v="25"/>
    <x v="1"/>
  </r>
  <r>
    <x v="513"/>
    <x v="6"/>
    <n v="134"/>
    <x v="4"/>
    <x v="140"/>
    <n v="120"/>
    <n v="3"/>
    <n v="2023"/>
    <x v="2"/>
    <s v="More than 2 hours"/>
    <x v="1"/>
    <b v="0"/>
    <x v="1"/>
    <n v="30"/>
    <x v="2"/>
  </r>
  <r>
    <x v="514"/>
    <x v="11"/>
    <n v="94"/>
    <x v="1"/>
    <x v="140"/>
    <n v="180"/>
    <n v="4.7"/>
    <n v="2023"/>
    <x v="2"/>
    <s v="1 to 2 hours"/>
    <x v="0"/>
    <s v="Happy"/>
    <x v="1"/>
    <n v="43"/>
    <x v="2"/>
  </r>
  <r>
    <x v="515"/>
    <x v="5"/>
    <n v="63"/>
    <x v="0"/>
    <x v="140"/>
    <n v="44"/>
    <n v="3"/>
    <n v="2023"/>
    <x v="2"/>
    <s v="1 to 2 hours"/>
    <x v="1"/>
    <b v="0"/>
    <x v="1"/>
    <n v="22"/>
    <x v="2"/>
  </r>
  <r>
    <x v="516"/>
    <x v="10"/>
    <n v="95"/>
    <x v="4"/>
    <x v="140"/>
    <n v="86"/>
    <n v="3.6"/>
    <n v="2023"/>
    <x v="2"/>
    <s v="1 to 2 hours"/>
    <x v="2"/>
    <s v="Happy"/>
    <x v="0"/>
    <n v="23"/>
    <x v="1"/>
  </r>
  <r>
    <x v="517"/>
    <x v="6"/>
    <n v="106"/>
    <x v="4"/>
    <x v="141"/>
    <n v="120"/>
    <n v="4.0999999999999996"/>
    <n v="2023"/>
    <x v="3"/>
    <s v="1 to 2 hours"/>
    <x v="2"/>
    <s v="Happy"/>
    <x v="1"/>
    <n v="30"/>
    <x v="2"/>
  </r>
  <r>
    <x v="518"/>
    <x v="3"/>
    <n v="94"/>
    <x v="1"/>
    <x v="141"/>
    <n v="100"/>
    <n v="3.7"/>
    <n v="2023"/>
    <x v="3"/>
    <s v="1 to 2 hours"/>
    <x v="2"/>
    <s v="Happy"/>
    <x v="1"/>
    <n v="38"/>
    <x v="1"/>
  </r>
  <r>
    <x v="519"/>
    <x v="3"/>
    <n v="51"/>
    <x v="1"/>
    <x v="142"/>
    <n v="108"/>
    <n v="4.5"/>
    <n v="2023"/>
    <x v="4"/>
    <s v="30 to 60 mins"/>
    <x v="0"/>
    <s v="Happy"/>
    <x v="1"/>
    <n v="38"/>
    <x v="1"/>
  </r>
  <r>
    <x v="520"/>
    <x v="14"/>
    <n v="39"/>
    <x v="1"/>
    <x v="142"/>
    <n v="46"/>
    <n v="4.5999999999999996"/>
    <n v="2023"/>
    <x v="4"/>
    <s v="30 to 60 mins"/>
    <x v="0"/>
    <s v="Happy"/>
    <x v="1"/>
    <n v="42"/>
    <x v="2"/>
  </r>
  <r>
    <x v="521"/>
    <x v="7"/>
    <n v="111"/>
    <x v="4"/>
    <x v="142"/>
    <n v="210"/>
    <n v="4.3"/>
    <n v="2023"/>
    <x v="4"/>
    <s v="1 to 2 hours"/>
    <x v="2"/>
    <s v="Happy"/>
    <x v="1"/>
    <n v="37"/>
    <x v="2"/>
  </r>
  <r>
    <x v="522"/>
    <x v="12"/>
    <n v="141"/>
    <x v="2"/>
    <x v="143"/>
    <n v="54"/>
    <n v="4.8"/>
    <n v="2023"/>
    <x v="6"/>
    <s v="More than 2 hours"/>
    <x v="0"/>
    <s v="Happy"/>
    <x v="1"/>
    <n v="28"/>
    <x v="0"/>
  </r>
  <r>
    <x v="523"/>
    <x v="5"/>
    <n v="147"/>
    <x v="4"/>
    <x v="143"/>
    <n v="115"/>
    <n v="4.7"/>
    <n v="2023"/>
    <x v="6"/>
    <s v="More than 2 hours"/>
    <x v="0"/>
    <s v="Happy"/>
    <x v="1"/>
    <n v="22"/>
    <x v="2"/>
  </r>
  <r>
    <x v="524"/>
    <x v="11"/>
    <n v="49"/>
    <x v="1"/>
    <x v="144"/>
    <n v="100"/>
    <n v="2.2000000000000002"/>
    <n v="2023"/>
    <x v="0"/>
    <s v="30 to 60 mins"/>
    <x v="3"/>
    <b v="0"/>
    <x v="1"/>
    <n v="43"/>
    <x v="2"/>
  </r>
  <r>
    <x v="525"/>
    <x v="2"/>
    <n v="75"/>
    <x v="4"/>
    <x v="144"/>
    <n v="38"/>
    <n v="4.4000000000000004"/>
    <n v="2023"/>
    <x v="0"/>
    <s v="1 to 2 hours"/>
    <x v="2"/>
    <s v="Happy"/>
    <x v="0"/>
    <n v="37"/>
    <x v="1"/>
  </r>
  <r>
    <x v="526"/>
    <x v="12"/>
    <n v="48"/>
    <x v="2"/>
    <x v="145"/>
    <n v="120"/>
    <n v="4.0999999999999996"/>
    <n v="2023"/>
    <x v="1"/>
    <s v="30 to 60 mins"/>
    <x v="2"/>
    <s v="Happy"/>
    <x v="1"/>
    <n v="28"/>
    <x v="0"/>
  </r>
  <r>
    <x v="527"/>
    <x v="9"/>
    <n v="48"/>
    <x v="2"/>
    <x v="145"/>
    <n v="120"/>
    <n v="4.0999999999999996"/>
    <n v="2023"/>
    <x v="1"/>
    <s v="30 to 60 mins"/>
    <x v="2"/>
    <s v="Happy"/>
    <x v="1"/>
    <n v="25"/>
    <x v="1"/>
  </r>
  <r>
    <x v="528"/>
    <x v="1"/>
    <n v="138"/>
    <x v="1"/>
    <x v="145"/>
    <n v="29"/>
    <n v="4.4000000000000004"/>
    <n v="2023"/>
    <x v="1"/>
    <s v="More than 2 hours"/>
    <x v="2"/>
    <s v="Happy"/>
    <x v="0"/>
    <n v="36"/>
    <x v="0"/>
  </r>
  <r>
    <x v="529"/>
    <x v="10"/>
    <n v="144"/>
    <x v="1"/>
    <x v="146"/>
    <n v="25"/>
    <n v="3.7"/>
    <n v="2023"/>
    <x v="2"/>
    <s v="More than 2 hours"/>
    <x v="2"/>
    <s v="Happy"/>
    <x v="0"/>
    <n v="23"/>
    <x v="1"/>
  </r>
  <r>
    <x v="530"/>
    <x v="13"/>
    <n v="119"/>
    <x v="4"/>
    <x v="147"/>
    <n v="116"/>
    <n v="3.8"/>
    <n v="2023"/>
    <x v="3"/>
    <s v="1 to 2 hours"/>
    <x v="2"/>
    <s v="Happy"/>
    <x v="0"/>
    <n v="41"/>
    <x v="1"/>
  </r>
  <r>
    <x v="531"/>
    <x v="1"/>
    <n v="101"/>
    <x v="2"/>
    <x v="148"/>
    <n v="132"/>
    <n v="4.3"/>
    <n v="2023"/>
    <x v="4"/>
    <s v="1 to 2 hours"/>
    <x v="2"/>
    <s v="Happy"/>
    <x v="0"/>
    <n v="36"/>
    <x v="0"/>
  </r>
  <r>
    <x v="532"/>
    <x v="10"/>
    <n v="59"/>
    <x v="4"/>
    <x v="149"/>
    <n v="90"/>
    <n v="3.5"/>
    <n v="2023"/>
    <x v="5"/>
    <s v="30 to 60 mins"/>
    <x v="2"/>
    <s v="Happy"/>
    <x v="0"/>
    <n v="23"/>
    <x v="1"/>
  </r>
  <r>
    <x v="533"/>
    <x v="7"/>
    <n v="125"/>
    <x v="0"/>
    <x v="149"/>
    <n v="87"/>
    <n v="4.0999999999999996"/>
    <n v="2023"/>
    <x v="5"/>
    <s v="More than 2 hours"/>
    <x v="2"/>
    <s v="Happy"/>
    <x v="1"/>
    <n v="37"/>
    <x v="2"/>
  </r>
  <r>
    <x v="534"/>
    <x v="6"/>
    <n v="147"/>
    <x v="4"/>
    <x v="149"/>
    <n v="140"/>
    <n v="4.2"/>
    <n v="2023"/>
    <x v="5"/>
    <s v="More than 2 hours"/>
    <x v="2"/>
    <s v="Happy"/>
    <x v="1"/>
    <n v="30"/>
    <x v="2"/>
  </r>
  <r>
    <x v="535"/>
    <x v="8"/>
    <n v="76"/>
    <x v="4"/>
    <x v="149"/>
    <n v="164"/>
    <n v="4.5"/>
    <n v="2023"/>
    <x v="5"/>
    <s v="1 to 2 hours"/>
    <x v="0"/>
    <s v="Happy"/>
    <x v="0"/>
    <n v="31"/>
    <x v="2"/>
  </r>
  <r>
    <x v="536"/>
    <x v="5"/>
    <n v="99"/>
    <x v="2"/>
    <x v="150"/>
    <n v="180"/>
    <n v="3.8"/>
    <n v="2023"/>
    <x v="6"/>
    <s v="1 to 2 hours"/>
    <x v="2"/>
    <s v="Happy"/>
    <x v="1"/>
    <n v="22"/>
    <x v="2"/>
  </r>
  <r>
    <x v="537"/>
    <x v="14"/>
    <n v="111"/>
    <x v="3"/>
    <x v="151"/>
    <n v="22"/>
    <n v="4.0999999999999996"/>
    <n v="2023"/>
    <x v="0"/>
    <s v="1 to 2 hours"/>
    <x v="2"/>
    <s v="Happy"/>
    <x v="1"/>
    <n v="42"/>
    <x v="2"/>
  </r>
  <r>
    <x v="538"/>
    <x v="4"/>
    <n v="147"/>
    <x v="0"/>
    <x v="151"/>
    <n v="82"/>
    <n v="4.4000000000000004"/>
    <n v="2023"/>
    <x v="0"/>
    <s v="More than 2 hours"/>
    <x v="2"/>
    <s v="Happy"/>
    <x v="1"/>
    <n v="30"/>
    <x v="0"/>
  </r>
  <r>
    <x v="539"/>
    <x v="0"/>
    <n v="141"/>
    <x v="2"/>
    <x v="151"/>
    <n v="100"/>
    <n v="4.5999999999999996"/>
    <n v="2023"/>
    <x v="0"/>
    <s v="More than 2 hours"/>
    <x v="0"/>
    <s v="Happy"/>
    <x v="0"/>
    <n v="26"/>
    <x v="0"/>
  </r>
  <r>
    <x v="540"/>
    <x v="8"/>
    <n v="71"/>
    <x v="4"/>
    <x v="152"/>
    <n v="52"/>
    <n v="3.4"/>
    <n v="2023"/>
    <x v="1"/>
    <s v="1 to 2 hours"/>
    <x v="1"/>
    <b v="0"/>
    <x v="0"/>
    <n v="31"/>
    <x v="2"/>
  </r>
  <r>
    <x v="541"/>
    <x v="8"/>
    <n v="121"/>
    <x v="0"/>
    <x v="153"/>
    <n v="84"/>
    <n v="4.5999999999999996"/>
    <n v="2023"/>
    <x v="2"/>
    <s v="More than 2 hours"/>
    <x v="0"/>
    <s v="Happy"/>
    <x v="0"/>
    <n v="31"/>
    <x v="2"/>
  </r>
  <r>
    <x v="542"/>
    <x v="8"/>
    <n v="60"/>
    <x v="0"/>
    <x v="153"/>
    <n v="37"/>
    <n v="3.9"/>
    <n v="2023"/>
    <x v="2"/>
    <s v="30 to 60 mins"/>
    <x v="2"/>
    <s v="Happy"/>
    <x v="0"/>
    <n v="31"/>
    <x v="2"/>
  </r>
  <r>
    <x v="543"/>
    <x v="11"/>
    <n v="158"/>
    <x v="2"/>
    <x v="154"/>
    <n v="190"/>
    <n v="4"/>
    <n v="2023"/>
    <x v="3"/>
    <s v="More than 2 hours"/>
    <x v="2"/>
    <s v="Happy"/>
    <x v="1"/>
    <n v="43"/>
    <x v="2"/>
  </r>
  <r>
    <x v="544"/>
    <x v="6"/>
    <n v="159"/>
    <x v="1"/>
    <x v="154"/>
    <n v="66"/>
    <n v="3.4"/>
    <n v="2023"/>
    <x v="3"/>
    <s v="More than 2 hours"/>
    <x v="1"/>
    <b v="0"/>
    <x v="1"/>
    <n v="30"/>
    <x v="2"/>
  </r>
  <r>
    <x v="545"/>
    <x v="1"/>
    <n v="70"/>
    <x v="4"/>
    <x v="155"/>
    <n v="116"/>
    <n v="3.2"/>
    <n v="2023"/>
    <x v="4"/>
    <s v="1 to 2 hours"/>
    <x v="1"/>
    <b v="0"/>
    <x v="0"/>
    <n v="36"/>
    <x v="0"/>
  </r>
  <r>
    <x v="546"/>
    <x v="12"/>
    <n v="78"/>
    <x v="3"/>
    <x v="155"/>
    <n v="28"/>
    <n v="3.9"/>
    <n v="2023"/>
    <x v="4"/>
    <s v="1 to 2 hours"/>
    <x v="2"/>
    <s v="Happy"/>
    <x v="1"/>
    <n v="28"/>
    <x v="0"/>
  </r>
  <r>
    <x v="547"/>
    <x v="4"/>
    <n v="103"/>
    <x v="4"/>
    <x v="155"/>
    <n v="120"/>
    <n v="5"/>
    <n v="2023"/>
    <x v="4"/>
    <s v="1 to 2 hours"/>
    <x v="0"/>
    <s v="Happy"/>
    <x v="1"/>
    <n v="30"/>
    <x v="0"/>
  </r>
  <r>
    <x v="548"/>
    <x v="2"/>
    <n v="108"/>
    <x v="2"/>
    <x v="155"/>
    <n v="56"/>
    <n v="3.5"/>
    <n v="2023"/>
    <x v="4"/>
    <s v="1 to 2 hours"/>
    <x v="2"/>
    <s v="Happy"/>
    <x v="0"/>
    <n v="37"/>
    <x v="1"/>
  </r>
  <r>
    <x v="549"/>
    <x v="2"/>
    <n v="44"/>
    <x v="0"/>
    <x v="155"/>
    <n v="170"/>
    <n v="3.8"/>
    <n v="2023"/>
    <x v="4"/>
    <s v="30 to 60 mins"/>
    <x v="2"/>
    <s v="Happy"/>
    <x v="0"/>
    <n v="37"/>
    <x v="1"/>
  </r>
  <r>
    <x v="550"/>
    <x v="12"/>
    <n v="127"/>
    <x v="2"/>
    <x v="156"/>
    <n v="200"/>
    <n v="4.8"/>
    <n v="2023"/>
    <x v="5"/>
    <s v="More than 2 hours"/>
    <x v="0"/>
    <s v="Happy"/>
    <x v="1"/>
    <n v="28"/>
    <x v="0"/>
  </r>
  <r>
    <x v="551"/>
    <x v="4"/>
    <n v="132"/>
    <x v="4"/>
    <x v="157"/>
    <n v="50"/>
    <n v="4.2"/>
    <n v="2023"/>
    <x v="6"/>
    <s v="More than 2 hours"/>
    <x v="2"/>
    <s v="Happy"/>
    <x v="1"/>
    <n v="30"/>
    <x v="0"/>
  </r>
  <r>
    <x v="552"/>
    <x v="0"/>
    <n v="106"/>
    <x v="3"/>
    <x v="157"/>
    <n v="112"/>
    <n v="3.7"/>
    <n v="2023"/>
    <x v="6"/>
    <s v="1 to 2 hours"/>
    <x v="2"/>
    <s v="Happy"/>
    <x v="0"/>
    <n v="26"/>
    <x v="0"/>
  </r>
  <r>
    <x v="553"/>
    <x v="14"/>
    <n v="107"/>
    <x v="4"/>
    <x v="158"/>
    <n v="39"/>
    <n v="4.8"/>
    <n v="2023"/>
    <x v="0"/>
    <s v="1 to 2 hours"/>
    <x v="0"/>
    <s v="Happy"/>
    <x v="1"/>
    <n v="42"/>
    <x v="2"/>
  </r>
  <r>
    <x v="554"/>
    <x v="6"/>
    <n v="85"/>
    <x v="3"/>
    <x v="158"/>
    <n v="38"/>
    <n v="4.8"/>
    <n v="2023"/>
    <x v="0"/>
    <s v="1 to 2 hours"/>
    <x v="0"/>
    <s v="Happy"/>
    <x v="1"/>
    <n v="30"/>
    <x v="2"/>
  </r>
  <r>
    <x v="555"/>
    <x v="5"/>
    <n v="49"/>
    <x v="4"/>
    <x v="159"/>
    <n v="84"/>
    <n v="2.9"/>
    <n v="2023"/>
    <x v="1"/>
    <s v="30 to 60 mins"/>
    <x v="1"/>
    <b v="0"/>
    <x v="1"/>
    <n v="22"/>
    <x v="2"/>
  </r>
  <r>
    <x v="556"/>
    <x v="8"/>
    <n v="117"/>
    <x v="2"/>
    <x v="160"/>
    <n v="82"/>
    <n v="3.5"/>
    <n v="2023"/>
    <x v="2"/>
    <s v="1 to 2 hours"/>
    <x v="2"/>
    <s v="Happy"/>
    <x v="0"/>
    <n v="31"/>
    <x v="2"/>
  </r>
  <r>
    <x v="557"/>
    <x v="14"/>
    <n v="136"/>
    <x v="3"/>
    <x v="160"/>
    <n v="37"/>
    <n v="0.9"/>
    <n v="2023"/>
    <x v="2"/>
    <s v="More than 2 hours"/>
    <x v="5"/>
    <b v="0"/>
    <x v="1"/>
    <n v="42"/>
    <x v="2"/>
  </r>
  <r>
    <x v="558"/>
    <x v="2"/>
    <n v="130"/>
    <x v="1"/>
    <x v="161"/>
    <n v="87"/>
    <n v="3.4"/>
    <n v="2023"/>
    <x v="3"/>
    <s v="More than 2 hours"/>
    <x v="1"/>
    <b v="0"/>
    <x v="0"/>
    <n v="37"/>
    <x v="1"/>
  </r>
  <r>
    <x v="559"/>
    <x v="2"/>
    <n v="73"/>
    <x v="1"/>
    <x v="161"/>
    <n v="75"/>
    <n v="2.7"/>
    <n v="2023"/>
    <x v="3"/>
    <s v="1 to 2 hours"/>
    <x v="1"/>
    <b v="0"/>
    <x v="0"/>
    <n v="37"/>
    <x v="1"/>
  </r>
  <r>
    <x v="560"/>
    <x v="5"/>
    <n v="80"/>
    <x v="4"/>
    <x v="161"/>
    <n v="32"/>
    <n v="4.7"/>
    <n v="2023"/>
    <x v="3"/>
    <s v="1 to 2 hours"/>
    <x v="0"/>
    <s v="Happy"/>
    <x v="1"/>
    <n v="22"/>
    <x v="2"/>
  </r>
  <r>
    <x v="561"/>
    <x v="13"/>
    <n v="44"/>
    <x v="2"/>
    <x v="161"/>
    <n v="33"/>
    <n v="3"/>
    <n v="2023"/>
    <x v="3"/>
    <s v="30 to 60 mins"/>
    <x v="1"/>
    <b v="0"/>
    <x v="0"/>
    <n v="41"/>
    <x v="1"/>
  </r>
  <r>
    <x v="562"/>
    <x v="13"/>
    <n v="102"/>
    <x v="0"/>
    <x v="161"/>
    <n v="76"/>
    <n v="4.2"/>
    <n v="2023"/>
    <x v="3"/>
    <s v="1 to 2 hours"/>
    <x v="2"/>
    <s v="Happy"/>
    <x v="0"/>
    <n v="41"/>
    <x v="1"/>
  </r>
  <r>
    <x v="563"/>
    <x v="11"/>
    <n v="74"/>
    <x v="0"/>
    <x v="161"/>
    <n v="117"/>
    <n v="4.8"/>
    <n v="2023"/>
    <x v="3"/>
    <s v="1 to 2 hours"/>
    <x v="0"/>
    <s v="Happy"/>
    <x v="1"/>
    <n v="43"/>
    <x v="2"/>
  </r>
  <r>
    <x v="564"/>
    <x v="5"/>
    <n v="52"/>
    <x v="2"/>
    <x v="162"/>
    <n v="70"/>
    <n v="4.0999999999999996"/>
    <n v="2023"/>
    <x v="5"/>
    <s v="30 to 60 mins"/>
    <x v="2"/>
    <s v="Happy"/>
    <x v="1"/>
    <n v="22"/>
    <x v="2"/>
  </r>
  <r>
    <x v="565"/>
    <x v="5"/>
    <n v="74"/>
    <x v="1"/>
    <x v="162"/>
    <n v="37"/>
    <n v="2.7"/>
    <n v="2023"/>
    <x v="5"/>
    <s v="1 to 2 hours"/>
    <x v="1"/>
    <b v="0"/>
    <x v="1"/>
    <n v="22"/>
    <x v="2"/>
  </r>
  <r>
    <x v="566"/>
    <x v="2"/>
    <n v="96"/>
    <x v="0"/>
    <x v="162"/>
    <n v="46"/>
    <n v="2.9"/>
    <n v="2023"/>
    <x v="5"/>
    <s v="1 to 2 hours"/>
    <x v="1"/>
    <b v="0"/>
    <x v="0"/>
    <n v="37"/>
    <x v="1"/>
  </r>
  <r>
    <x v="567"/>
    <x v="7"/>
    <n v="104"/>
    <x v="4"/>
    <x v="162"/>
    <n v="136"/>
    <n v="5"/>
    <n v="2023"/>
    <x v="5"/>
    <s v="1 to 2 hours"/>
    <x v="0"/>
    <s v="Happy"/>
    <x v="1"/>
    <n v="37"/>
    <x v="2"/>
  </r>
  <r>
    <x v="568"/>
    <x v="2"/>
    <n v="123"/>
    <x v="0"/>
    <x v="163"/>
    <n v="44"/>
    <n v="4.5999999999999996"/>
    <n v="2023"/>
    <x v="6"/>
    <s v="More than 2 hours"/>
    <x v="0"/>
    <s v="Happy"/>
    <x v="0"/>
    <n v="37"/>
    <x v="1"/>
  </r>
  <r>
    <x v="569"/>
    <x v="9"/>
    <n v="100"/>
    <x v="3"/>
    <x v="163"/>
    <n v="69"/>
    <n v="3"/>
    <n v="2023"/>
    <x v="6"/>
    <s v="1 to 2 hours"/>
    <x v="1"/>
    <b v="0"/>
    <x v="1"/>
    <n v="25"/>
    <x v="1"/>
  </r>
  <r>
    <x v="570"/>
    <x v="7"/>
    <n v="35"/>
    <x v="2"/>
    <x v="164"/>
    <n v="86"/>
    <n v="4.5999999999999996"/>
    <n v="2023"/>
    <x v="0"/>
    <s v="30 to 60 mins"/>
    <x v="0"/>
    <s v="Happy"/>
    <x v="1"/>
    <n v="37"/>
    <x v="2"/>
  </r>
  <r>
    <x v="571"/>
    <x v="5"/>
    <n v="123"/>
    <x v="4"/>
    <x v="164"/>
    <n v="68"/>
    <n v="4.5"/>
    <n v="2023"/>
    <x v="0"/>
    <s v="More than 2 hours"/>
    <x v="0"/>
    <s v="Happy"/>
    <x v="1"/>
    <n v="22"/>
    <x v="2"/>
  </r>
  <r>
    <x v="572"/>
    <x v="8"/>
    <n v="133"/>
    <x v="2"/>
    <x v="165"/>
    <n v="21"/>
    <n v="3.7"/>
    <n v="2023"/>
    <x v="1"/>
    <s v="More than 2 hours"/>
    <x v="2"/>
    <s v="Happy"/>
    <x v="0"/>
    <n v="31"/>
    <x v="2"/>
  </r>
  <r>
    <x v="573"/>
    <x v="2"/>
    <n v="126"/>
    <x v="1"/>
    <x v="165"/>
    <n v="190"/>
    <n v="2.4"/>
    <n v="2023"/>
    <x v="1"/>
    <s v="More than 2 hours"/>
    <x v="3"/>
    <b v="0"/>
    <x v="0"/>
    <n v="37"/>
    <x v="1"/>
  </r>
  <r>
    <x v="574"/>
    <x v="5"/>
    <n v="39"/>
    <x v="0"/>
    <x v="165"/>
    <n v="176"/>
    <n v="4.3"/>
    <n v="2023"/>
    <x v="1"/>
    <s v="30 to 60 mins"/>
    <x v="2"/>
    <s v="Happy"/>
    <x v="1"/>
    <n v="22"/>
    <x v="2"/>
  </r>
  <r>
    <x v="575"/>
    <x v="11"/>
    <n v="31"/>
    <x v="4"/>
    <x v="165"/>
    <n v="172"/>
    <n v="3.9"/>
    <n v="2023"/>
    <x v="1"/>
    <s v="30 to 60 mins"/>
    <x v="2"/>
    <s v="Happy"/>
    <x v="1"/>
    <n v="43"/>
    <x v="2"/>
  </r>
  <r>
    <x v="576"/>
    <x v="4"/>
    <n v="25"/>
    <x v="2"/>
    <x v="165"/>
    <n v="84"/>
    <n v="4.5"/>
    <n v="2023"/>
    <x v="1"/>
    <s v="10 to 30 mins"/>
    <x v="0"/>
    <s v="Happy"/>
    <x v="1"/>
    <n v="30"/>
    <x v="0"/>
  </r>
  <r>
    <x v="577"/>
    <x v="1"/>
    <n v="132"/>
    <x v="3"/>
    <x v="166"/>
    <n v="42"/>
    <n v="5"/>
    <n v="2023"/>
    <x v="2"/>
    <s v="More than 2 hours"/>
    <x v="0"/>
    <s v="Happy"/>
    <x v="0"/>
    <n v="36"/>
    <x v="0"/>
  </r>
  <r>
    <x v="578"/>
    <x v="7"/>
    <n v="63"/>
    <x v="1"/>
    <x v="166"/>
    <n v="70"/>
    <n v="1.6"/>
    <n v="2023"/>
    <x v="2"/>
    <s v="1 to 2 hours"/>
    <x v="3"/>
    <b v="0"/>
    <x v="1"/>
    <n v="37"/>
    <x v="2"/>
  </r>
  <r>
    <x v="579"/>
    <x v="9"/>
    <n v="135"/>
    <x v="3"/>
    <x v="166"/>
    <n v="60"/>
    <n v="4.3"/>
    <n v="2023"/>
    <x v="2"/>
    <s v="More than 2 hours"/>
    <x v="2"/>
    <s v="Happy"/>
    <x v="1"/>
    <n v="25"/>
    <x v="1"/>
  </r>
  <r>
    <x v="580"/>
    <x v="6"/>
    <n v="101"/>
    <x v="1"/>
    <x v="166"/>
    <n v="84"/>
    <n v="3.5"/>
    <n v="2023"/>
    <x v="2"/>
    <s v="1 to 2 hours"/>
    <x v="2"/>
    <s v="Happy"/>
    <x v="1"/>
    <n v="30"/>
    <x v="2"/>
  </r>
  <r>
    <x v="581"/>
    <x v="8"/>
    <n v="80"/>
    <x v="0"/>
    <x v="167"/>
    <n v="68"/>
    <n v="3.1"/>
    <n v="2023"/>
    <x v="3"/>
    <s v="1 to 2 hours"/>
    <x v="1"/>
    <b v="0"/>
    <x v="0"/>
    <n v="31"/>
    <x v="2"/>
  </r>
  <r>
    <x v="582"/>
    <x v="13"/>
    <n v="28"/>
    <x v="0"/>
    <x v="167"/>
    <n v="44"/>
    <n v="2.9"/>
    <n v="2023"/>
    <x v="3"/>
    <s v="10 to 30 mins"/>
    <x v="1"/>
    <b v="0"/>
    <x v="0"/>
    <n v="41"/>
    <x v="1"/>
  </r>
  <r>
    <x v="583"/>
    <x v="6"/>
    <n v="102"/>
    <x v="3"/>
    <x v="168"/>
    <n v="99"/>
    <n v="3.2"/>
    <n v="2023"/>
    <x v="4"/>
    <s v="1 to 2 hours"/>
    <x v="1"/>
    <b v="0"/>
    <x v="1"/>
    <n v="30"/>
    <x v="2"/>
  </r>
  <r>
    <x v="584"/>
    <x v="7"/>
    <n v="60"/>
    <x v="3"/>
    <x v="169"/>
    <n v="66"/>
    <n v="3.2"/>
    <n v="2023"/>
    <x v="5"/>
    <s v="30 to 60 mins"/>
    <x v="1"/>
    <b v="0"/>
    <x v="1"/>
    <n v="37"/>
    <x v="2"/>
  </r>
  <r>
    <x v="585"/>
    <x v="3"/>
    <n v="103"/>
    <x v="3"/>
    <x v="169"/>
    <n v="102"/>
    <n v="4.5"/>
    <n v="2023"/>
    <x v="5"/>
    <s v="1 to 2 hours"/>
    <x v="0"/>
    <s v="Happy"/>
    <x v="1"/>
    <n v="38"/>
    <x v="1"/>
  </r>
  <r>
    <x v="586"/>
    <x v="8"/>
    <n v="90"/>
    <x v="0"/>
    <x v="170"/>
    <n v="129"/>
    <n v="3.9"/>
    <n v="2024"/>
    <x v="6"/>
    <s v="1 to 2 hours"/>
    <x v="2"/>
    <s v="Happy"/>
    <x v="0"/>
    <n v="31"/>
    <x v="2"/>
  </r>
  <r>
    <x v="587"/>
    <x v="12"/>
    <n v="88"/>
    <x v="3"/>
    <x v="170"/>
    <n v="80"/>
    <n v="4.2"/>
    <n v="2024"/>
    <x v="6"/>
    <s v="1 to 2 hours"/>
    <x v="2"/>
    <s v="Happy"/>
    <x v="1"/>
    <n v="28"/>
    <x v="0"/>
  </r>
  <r>
    <x v="588"/>
    <x v="3"/>
    <n v="37"/>
    <x v="3"/>
    <x v="170"/>
    <n v="54"/>
    <n v="1.8"/>
    <n v="2024"/>
    <x v="6"/>
    <s v="30 to 60 mins"/>
    <x v="3"/>
    <b v="0"/>
    <x v="1"/>
    <n v="38"/>
    <x v="1"/>
  </r>
  <r>
    <x v="589"/>
    <x v="13"/>
    <n v="142"/>
    <x v="0"/>
    <x v="170"/>
    <n v="116"/>
    <n v="4.2"/>
    <n v="2024"/>
    <x v="6"/>
    <s v="More than 2 hours"/>
    <x v="2"/>
    <s v="Happy"/>
    <x v="0"/>
    <n v="41"/>
    <x v="1"/>
  </r>
  <r>
    <x v="590"/>
    <x v="13"/>
    <n v="153"/>
    <x v="2"/>
    <x v="170"/>
    <n v="102"/>
    <n v="3.1"/>
    <n v="2024"/>
    <x v="6"/>
    <s v="More than 2 hours"/>
    <x v="1"/>
    <b v="0"/>
    <x v="0"/>
    <n v="41"/>
    <x v="1"/>
  </r>
  <r>
    <x v="591"/>
    <x v="10"/>
    <n v="128"/>
    <x v="1"/>
    <x v="170"/>
    <n v="140"/>
    <n v="4.3"/>
    <n v="2024"/>
    <x v="6"/>
    <s v="More than 2 hours"/>
    <x v="2"/>
    <s v="Happy"/>
    <x v="0"/>
    <n v="23"/>
    <x v="1"/>
  </r>
  <r>
    <x v="592"/>
    <x v="7"/>
    <n v="110"/>
    <x v="1"/>
    <x v="171"/>
    <n v="104"/>
    <n v="4.4000000000000004"/>
    <n v="2024"/>
    <x v="0"/>
    <s v="1 to 2 hours"/>
    <x v="2"/>
    <s v="Happy"/>
    <x v="1"/>
    <n v="37"/>
    <x v="2"/>
  </r>
  <r>
    <x v="593"/>
    <x v="10"/>
    <n v="139"/>
    <x v="3"/>
    <x v="171"/>
    <n v="81"/>
    <n v="4.4000000000000004"/>
    <n v="2024"/>
    <x v="0"/>
    <s v="More than 2 hours"/>
    <x v="2"/>
    <s v="Happy"/>
    <x v="0"/>
    <n v="23"/>
    <x v="1"/>
  </r>
  <r>
    <x v="594"/>
    <x v="6"/>
    <n v="109"/>
    <x v="4"/>
    <x v="172"/>
    <n v="140"/>
    <n v="2.4"/>
    <n v="2024"/>
    <x v="2"/>
    <s v="1 to 2 hours"/>
    <x v="3"/>
    <b v="0"/>
    <x v="1"/>
    <n v="30"/>
    <x v="2"/>
  </r>
  <r>
    <x v="595"/>
    <x v="1"/>
    <n v="57"/>
    <x v="0"/>
    <x v="173"/>
    <n v="120"/>
    <n v="3.5"/>
    <n v="2024"/>
    <x v="3"/>
    <s v="30 to 60 mins"/>
    <x v="2"/>
    <s v="Happy"/>
    <x v="0"/>
    <n v="36"/>
    <x v="0"/>
  </r>
  <r>
    <x v="596"/>
    <x v="6"/>
    <n v="68"/>
    <x v="3"/>
    <x v="173"/>
    <n v="41"/>
    <n v="3.1"/>
    <n v="2024"/>
    <x v="3"/>
    <s v="1 to 2 hours"/>
    <x v="1"/>
    <b v="0"/>
    <x v="1"/>
    <n v="30"/>
    <x v="2"/>
  </r>
  <r>
    <x v="597"/>
    <x v="4"/>
    <n v="128"/>
    <x v="3"/>
    <x v="173"/>
    <n v="116"/>
    <n v="2.2999999999999998"/>
    <n v="2024"/>
    <x v="3"/>
    <s v="More than 2 hours"/>
    <x v="3"/>
    <b v="0"/>
    <x v="1"/>
    <n v="30"/>
    <x v="0"/>
  </r>
  <r>
    <x v="598"/>
    <x v="0"/>
    <n v="102"/>
    <x v="0"/>
    <x v="174"/>
    <n v="70"/>
    <n v="2.8"/>
    <n v="2024"/>
    <x v="4"/>
    <s v="1 to 2 hours"/>
    <x v="1"/>
    <b v="0"/>
    <x v="0"/>
    <n v="26"/>
    <x v="0"/>
  </r>
  <r>
    <x v="599"/>
    <x v="10"/>
    <n v="52"/>
    <x v="2"/>
    <x v="174"/>
    <n v="42"/>
    <n v="4.5"/>
    <n v="2024"/>
    <x v="4"/>
    <s v="30 to 60 mins"/>
    <x v="0"/>
    <s v="Happy"/>
    <x v="0"/>
    <n v="23"/>
    <x v="1"/>
  </r>
  <r>
    <x v="600"/>
    <x v="4"/>
    <n v="55"/>
    <x v="1"/>
    <x v="175"/>
    <n v="112"/>
    <n v="4.5"/>
    <n v="2024"/>
    <x v="5"/>
    <s v="30 to 60 mins"/>
    <x v="0"/>
    <s v="Happy"/>
    <x v="1"/>
    <n v="30"/>
    <x v="0"/>
  </r>
  <r>
    <x v="601"/>
    <x v="3"/>
    <n v="107"/>
    <x v="3"/>
    <x v="175"/>
    <n v="20"/>
    <n v="4.5"/>
    <n v="2024"/>
    <x v="5"/>
    <s v="1 to 2 hours"/>
    <x v="0"/>
    <s v="Happy"/>
    <x v="1"/>
    <n v="38"/>
    <x v="1"/>
  </r>
  <r>
    <x v="602"/>
    <x v="8"/>
    <n v="88"/>
    <x v="2"/>
    <x v="176"/>
    <n v="110"/>
    <n v="4.8"/>
    <n v="2024"/>
    <x v="6"/>
    <s v="1 to 2 hours"/>
    <x v="0"/>
    <s v="Happy"/>
    <x v="0"/>
    <n v="31"/>
    <x v="2"/>
  </r>
  <r>
    <x v="603"/>
    <x v="5"/>
    <n v="49"/>
    <x v="2"/>
    <x v="176"/>
    <n v="39"/>
    <n v="4.5999999999999996"/>
    <n v="2024"/>
    <x v="6"/>
    <s v="30 to 60 mins"/>
    <x v="0"/>
    <s v="Happy"/>
    <x v="1"/>
    <n v="22"/>
    <x v="2"/>
  </r>
  <r>
    <x v="604"/>
    <x v="8"/>
    <n v="72"/>
    <x v="0"/>
    <x v="176"/>
    <n v="76"/>
    <n v="4.5"/>
    <n v="2024"/>
    <x v="6"/>
    <s v="1 to 2 hours"/>
    <x v="0"/>
    <s v="Happy"/>
    <x v="0"/>
    <n v="31"/>
    <x v="2"/>
  </r>
  <r>
    <x v="605"/>
    <x v="1"/>
    <n v="50"/>
    <x v="0"/>
    <x v="176"/>
    <n v="40"/>
    <n v="5"/>
    <n v="2024"/>
    <x v="6"/>
    <s v="30 to 60 mins"/>
    <x v="0"/>
    <s v="Happy"/>
    <x v="0"/>
    <n v="36"/>
    <x v="0"/>
  </r>
  <r>
    <x v="606"/>
    <x v="8"/>
    <n v="52"/>
    <x v="3"/>
    <x v="176"/>
    <n v="42"/>
    <n v="4.8"/>
    <n v="2024"/>
    <x v="6"/>
    <s v="30 to 60 mins"/>
    <x v="0"/>
    <s v="Happy"/>
    <x v="0"/>
    <n v="31"/>
    <x v="2"/>
  </r>
  <r>
    <x v="607"/>
    <x v="2"/>
    <n v="85"/>
    <x v="4"/>
    <x v="177"/>
    <n v="215"/>
    <n v="3.5"/>
    <n v="2024"/>
    <x v="0"/>
    <s v="1 to 2 hours"/>
    <x v="2"/>
    <s v="Happy"/>
    <x v="0"/>
    <n v="37"/>
    <x v="1"/>
  </r>
  <r>
    <x v="608"/>
    <x v="9"/>
    <n v="98"/>
    <x v="4"/>
    <x v="178"/>
    <n v="130"/>
    <n v="3.4"/>
    <n v="2024"/>
    <x v="1"/>
    <s v="1 to 2 hours"/>
    <x v="1"/>
    <b v="0"/>
    <x v="1"/>
    <n v="25"/>
    <x v="1"/>
  </r>
  <r>
    <x v="609"/>
    <x v="11"/>
    <n v="52"/>
    <x v="4"/>
    <x v="178"/>
    <n v="190"/>
    <n v="3.3"/>
    <n v="2024"/>
    <x v="1"/>
    <s v="30 to 60 mins"/>
    <x v="1"/>
    <b v="0"/>
    <x v="1"/>
    <n v="43"/>
    <x v="2"/>
  </r>
  <r>
    <x v="610"/>
    <x v="4"/>
    <n v="154"/>
    <x v="2"/>
    <x v="178"/>
    <n v="164"/>
    <n v="4.9000000000000004"/>
    <n v="2024"/>
    <x v="1"/>
    <s v="More than 2 hours"/>
    <x v="0"/>
    <s v="Happy"/>
    <x v="1"/>
    <n v="30"/>
    <x v="0"/>
  </r>
  <r>
    <x v="611"/>
    <x v="14"/>
    <n v="131"/>
    <x v="1"/>
    <x v="179"/>
    <n v="76"/>
    <n v="4.5"/>
    <n v="2024"/>
    <x v="2"/>
    <s v="More than 2 hours"/>
    <x v="0"/>
    <s v="Happy"/>
    <x v="1"/>
    <n v="42"/>
    <x v="2"/>
  </r>
  <r>
    <x v="612"/>
    <x v="2"/>
    <n v="73"/>
    <x v="1"/>
    <x v="180"/>
    <n v="87"/>
    <n v="4.8"/>
    <n v="2024"/>
    <x v="3"/>
    <s v="1 to 2 hours"/>
    <x v="0"/>
    <s v="Happy"/>
    <x v="0"/>
    <n v="37"/>
    <x v="1"/>
  </r>
  <r>
    <x v="613"/>
    <x v="7"/>
    <n v="45"/>
    <x v="4"/>
    <x v="180"/>
    <n v="84"/>
    <n v="4.8"/>
    <n v="2024"/>
    <x v="3"/>
    <s v="30 to 60 mins"/>
    <x v="0"/>
    <s v="Happy"/>
    <x v="1"/>
    <n v="37"/>
    <x v="2"/>
  </r>
  <r>
    <x v="614"/>
    <x v="10"/>
    <n v="114"/>
    <x v="3"/>
    <x v="180"/>
    <n v="114"/>
    <n v="3.9"/>
    <n v="2024"/>
    <x v="3"/>
    <s v="1 to 2 hours"/>
    <x v="2"/>
    <s v="Happy"/>
    <x v="0"/>
    <n v="23"/>
    <x v="1"/>
  </r>
  <r>
    <x v="615"/>
    <x v="9"/>
    <n v="69"/>
    <x v="1"/>
    <x v="181"/>
    <n v="56"/>
    <n v="3.9"/>
    <n v="2024"/>
    <x v="4"/>
    <s v="1 to 2 hours"/>
    <x v="2"/>
    <s v="Happy"/>
    <x v="1"/>
    <n v="25"/>
    <x v="1"/>
  </r>
  <r>
    <x v="616"/>
    <x v="14"/>
    <n v="33"/>
    <x v="2"/>
    <x v="181"/>
    <n v="27"/>
    <n v="3.7"/>
    <n v="2024"/>
    <x v="4"/>
    <s v="30 to 60 mins"/>
    <x v="2"/>
    <s v="Happy"/>
    <x v="1"/>
    <n v="42"/>
    <x v="2"/>
  </r>
  <r>
    <x v="617"/>
    <x v="1"/>
    <n v="31"/>
    <x v="0"/>
    <x v="182"/>
    <n v="84"/>
    <n v="4.8"/>
    <n v="2024"/>
    <x v="5"/>
    <s v="30 to 60 mins"/>
    <x v="0"/>
    <s v="Happy"/>
    <x v="0"/>
    <n v="36"/>
    <x v="0"/>
  </r>
  <r>
    <x v="618"/>
    <x v="7"/>
    <n v="168"/>
    <x v="2"/>
    <x v="182"/>
    <n v="72"/>
    <n v="3.5"/>
    <n v="2024"/>
    <x v="5"/>
    <s v="More than 2 hours"/>
    <x v="2"/>
    <s v="Happy"/>
    <x v="1"/>
    <n v="37"/>
    <x v="2"/>
  </r>
  <r>
    <x v="619"/>
    <x v="2"/>
    <n v="111"/>
    <x v="3"/>
    <x v="183"/>
    <n v="126"/>
    <n v="4.2"/>
    <n v="2024"/>
    <x v="6"/>
    <s v="1 to 2 hours"/>
    <x v="2"/>
    <s v="Happy"/>
    <x v="0"/>
    <n v="37"/>
    <x v="1"/>
  </r>
  <r>
    <x v="620"/>
    <x v="1"/>
    <n v="80"/>
    <x v="2"/>
    <x v="184"/>
    <n v="88"/>
    <n v="4.9000000000000004"/>
    <n v="2024"/>
    <x v="0"/>
    <s v="1 to 2 hours"/>
    <x v="0"/>
    <s v="Happy"/>
    <x v="0"/>
    <n v="36"/>
    <x v="0"/>
  </r>
  <r>
    <x v="621"/>
    <x v="0"/>
    <n v="37"/>
    <x v="2"/>
    <x v="184"/>
    <n v="124"/>
    <n v="4.5999999999999996"/>
    <n v="2024"/>
    <x v="0"/>
    <s v="30 to 60 mins"/>
    <x v="0"/>
    <s v="Happy"/>
    <x v="0"/>
    <n v="26"/>
    <x v="0"/>
  </r>
  <r>
    <x v="622"/>
    <x v="13"/>
    <n v="137"/>
    <x v="2"/>
    <x v="185"/>
    <n v="84"/>
    <n v="2.6"/>
    <n v="2024"/>
    <x v="1"/>
    <s v="More than 2 hours"/>
    <x v="1"/>
    <b v="0"/>
    <x v="0"/>
    <n v="41"/>
    <x v="1"/>
  </r>
  <r>
    <x v="623"/>
    <x v="9"/>
    <n v="123"/>
    <x v="3"/>
    <x v="185"/>
    <n v="80"/>
    <n v="2.7"/>
    <n v="2024"/>
    <x v="1"/>
    <s v="More than 2 hours"/>
    <x v="1"/>
    <b v="0"/>
    <x v="1"/>
    <n v="25"/>
    <x v="1"/>
  </r>
  <r>
    <x v="624"/>
    <x v="12"/>
    <n v="105"/>
    <x v="3"/>
    <x v="186"/>
    <n v="176"/>
    <n v="4.7"/>
    <n v="2024"/>
    <x v="2"/>
    <s v="1 to 2 hours"/>
    <x v="0"/>
    <s v="Happy"/>
    <x v="1"/>
    <n v="28"/>
    <x v="0"/>
  </r>
  <r>
    <x v="625"/>
    <x v="0"/>
    <n v="76"/>
    <x v="4"/>
    <x v="187"/>
    <n v="84"/>
    <n v="3.9"/>
    <n v="2024"/>
    <x v="3"/>
    <s v="1 to 2 hours"/>
    <x v="2"/>
    <s v="Happy"/>
    <x v="0"/>
    <n v="26"/>
    <x v="0"/>
  </r>
  <r>
    <x v="626"/>
    <x v="1"/>
    <n v="144"/>
    <x v="4"/>
    <x v="187"/>
    <n v="164"/>
    <n v="2.8"/>
    <n v="2024"/>
    <x v="3"/>
    <s v="More than 2 hours"/>
    <x v="1"/>
    <b v="0"/>
    <x v="0"/>
    <n v="36"/>
    <x v="0"/>
  </r>
  <r>
    <x v="627"/>
    <x v="14"/>
    <n v="109"/>
    <x v="0"/>
    <x v="187"/>
    <n v="132"/>
    <n v="3.1"/>
    <n v="2024"/>
    <x v="3"/>
    <s v="1 to 2 hours"/>
    <x v="1"/>
    <b v="0"/>
    <x v="1"/>
    <n v="42"/>
    <x v="2"/>
  </r>
  <r>
    <x v="628"/>
    <x v="9"/>
    <n v="172"/>
    <x v="2"/>
    <x v="188"/>
    <n v="27"/>
    <n v="4.2"/>
    <n v="2024"/>
    <x v="4"/>
    <s v="More than 2 hours"/>
    <x v="2"/>
    <s v="Happy"/>
    <x v="1"/>
    <n v="25"/>
    <x v="1"/>
  </r>
  <r>
    <x v="629"/>
    <x v="1"/>
    <n v="56"/>
    <x v="3"/>
    <x v="188"/>
    <n v="27"/>
    <n v="4.3"/>
    <n v="2024"/>
    <x v="4"/>
    <s v="30 to 60 mins"/>
    <x v="2"/>
    <s v="Happy"/>
    <x v="0"/>
    <n v="36"/>
    <x v="0"/>
  </r>
  <r>
    <x v="630"/>
    <x v="1"/>
    <n v="121"/>
    <x v="1"/>
    <x v="188"/>
    <n v="20"/>
    <n v="2.7"/>
    <n v="2024"/>
    <x v="4"/>
    <s v="More than 2 hours"/>
    <x v="1"/>
    <b v="0"/>
    <x v="0"/>
    <n v="36"/>
    <x v="0"/>
  </r>
  <r>
    <x v="631"/>
    <x v="9"/>
    <n v="41"/>
    <x v="3"/>
    <x v="189"/>
    <n v="112"/>
    <n v="2.2999999999999998"/>
    <n v="2024"/>
    <x v="5"/>
    <s v="30 to 60 mins"/>
    <x v="3"/>
    <b v="0"/>
    <x v="1"/>
    <n v="25"/>
    <x v="1"/>
  </r>
  <r>
    <x v="632"/>
    <x v="3"/>
    <n v="60"/>
    <x v="2"/>
    <x v="189"/>
    <n v="60"/>
    <n v="2.2999999999999998"/>
    <n v="2024"/>
    <x v="5"/>
    <s v="30 to 60 mins"/>
    <x v="3"/>
    <b v="0"/>
    <x v="1"/>
    <n v="38"/>
    <x v="1"/>
  </r>
  <r>
    <x v="633"/>
    <x v="3"/>
    <n v="144"/>
    <x v="2"/>
    <x v="190"/>
    <n v="102"/>
    <n v="2.9"/>
    <n v="2024"/>
    <x v="6"/>
    <s v="More than 2 hours"/>
    <x v="1"/>
    <b v="0"/>
    <x v="1"/>
    <n v="38"/>
    <x v="1"/>
  </r>
  <r>
    <x v="634"/>
    <x v="4"/>
    <n v="67"/>
    <x v="2"/>
    <x v="190"/>
    <n v="38"/>
    <n v="4.2"/>
    <n v="2024"/>
    <x v="6"/>
    <s v="1 to 2 hours"/>
    <x v="2"/>
    <s v="Happy"/>
    <x v="1"/>
    <n v="30"/>
    <x v="0"/>
  </r>
  <r>
    <x v="635"/>
    <x v="9"/>
    <n v="162"/>
    <x v="0"/>
    <x v="190"/>
    <n v="82"/>
    <n v="4.5999999999999996"/>
    <n v="2024"/>
    <x v="6"/>
    <s v="More than 2 hours"/>
    <x v="0"/>
    <s v="Happy"/>
    <x v="1"/>
    <n v="25"/>
    <x v="1"/>
  </r>
  <r>
    <x v="636"/>
    <x v="3"/>
    <n v="87"/>
    <x v="1"/>
    <x v="191"/>
    <n v="125"/>
    <n v="4.5"/>
    <n v="2024"/>
    <x v="2"/>
    <s v="1 to 2 hours"/>
    <x v="0"/>
    <s v="Happy"/>
    <x v="1"/>
    <n v="38"/>
    <x v="1"/>
  </r>
  <r>
    <x v="637"/>
    <x v="11"/>
    <n v="10"/>
    <x v="4"/>
    <x v="192"/>
    <n v="72"/>
    <n v="3.7"/>
    <n v="2024"/>
    <x v="3"/>
    <s v="Under 10 mins"/>
    <x v="2"/>
    <s v="Happy"/>
    <x v="1"/>
    <n v="43"/>
    <x v="2"/>
  </r>
  <r>
    <x v="638"/>
    <x v="1"/>
    <n v="138"/>
    <x v="4"/>
    <x v="192"/>
    <n v="195"/>
    <n v="4.0999999999999996"/>
    <n v="2024"/>
    <x v="3"/>
    <s v="More than 2 hours"/>
    <x v="2"/>
    <s v="Happy"/>
    <x v="0"/>
    <n v="36"/>
    <x v="0"/>
  </r>
  <r>
    <x v="639"/>
    <x v="9"/>
    <n v="31"/>
    <x v="4"/>
    <x v="193"/>
    <n v="160"/>
    <n v="3.4"/>
    <n v="2024"/>
    <x v="4"/>
    <s v="30 to 60 mins"/>
    <x v="1"/>
    <b v="0"/>
    <x v="1"/>
    <n v="25"/>
    <x v="1"/>
  </r>
  <r>
    <x v="640"/>
    <x v="12"/>
    <n v="75"/>
    <x v="0"/>
    <x v="193"/>
    <n v="78"/>
    <n v="3.3"/>
    <n v="2024"/>
    <x v="4"/>
    <s v="1 to 2 hours"/>
    <x v="1"/>
    <b v="0"/>
    <x v="1"/>
    <n v="28"/>
    <x v="0"/>
  </r>
  <r>
    <x v="641"/>
    <x v="0"/>
    <n v="65"/>
    <x v="0"/>
    <x v="194"/>
    <n v="70"/>
    <n v="4.4000000000000004"/>
    <n v="2024"/>
    <x v="5"/>
    <s v="1 to 2 hours"/>
    <x v="2"/>
    <s v="Happy"/>
    <x v="0"/>
    <n v="26"/>
    <x v="0"/>
  </r>
  <r>
    <x v="642"/>
    <x v="2"/>
    <n v="106"/>
    <x v="3"/>
    <x v="194"/>
    <n v="105"/>
    <n v="4.2"/>
    <n v="2024"/>
    <x v="5"/>
    <s v="1 to 2 hours"/>
    <x v="2"/>
    <s v="Happy"/>
    <x v="0"/>
    <n v="37"/>
    <x v="1"/>
  </r>
  <r>
    <x v="643"/>
    <x v="0"/>
    <n v="107"/>
    <x v="3"/>
    <x v="195"/>
    <n v="78"/>
    <n v="3.4"/>
    <n v="2024"/>
    <x v="6"/>
    <s v="1 to 2 hours"/>
    <x v="1"/>
    <b v="0"/>
    <x v="0"/>
    <n v="26"/>
    <x v="0"/>
  </r>
  <r>
    <x v="644"/>
    <x v="13"/>
    <n v="78"/>
    <x v="3"/>
    <x v="196"/>
    <n v="205"/>
    <n v="4.4000000000000004"/>
    <n v="2024"/>
    <x v="1"/>
    <s v="1 to 2 hours"/>
    <x v="2"/>
    <s v="Happy"/>
    <x v="0"/>
    <n v="41"/>
    <x v="1"/>
  </r>
  <r>
    <x v="645"/>
    <x v="8"/>
    <n v="122"/>
    <x v="3"/>
    <x v="196"/>
    <n v="78"/>
    <n v="2.7"/>
    <n v="2024"/>
    <x v="1"/>
    <s v="More than 2 hours"/>
    <x v="1"/>
    <b v="0"/>
    <x v="0"/>
    <n v="31"/>
    <x v="2"/>
  </r>
  <r>
    <x v="646"/>
    <x v="1"/>
    <n v="58"/>
    <x v="4"/>
    <x v="196"/>
    <n v="38"/>
    <n v="4.5"/>
    <n v="2024"/>
    <x v="1"/>
    <s v="30 to 60 mins"/>
    <x v="0"/>
    <s v="Happy"/>
    <x v="0"/>
    <n v="36"/>
    <x v="0"/>
  </r>
  <r>
    <x v="647"/>
    <x v="13"/>
    <n v="33"/>
    <x v="2"/>
    <x v="196"/>
    <n v="92"/>
    <n v="1.7"/>
    <n v="2024"/>
    <x v="1"/>
    <s v="30 to 60 mins"/>
    <x v="3"/>
    <b v="0"/>
    <x v="0"/>
    <n v="41"/>
    <x v="1"/>
  </r>
  <r>
    <x v="648"/>
    <x v="14"/>
    <n v="164"/>
    <x v="0"/>
    <x v="196"/>
    <n v="36"/>
    <n v="4.7"/>
    <n v="2024"/>
    <x v="1"/>
    <s v="More than 2 hours"/>
    <x v="0"/>
    <s v="Happy"/>
    <x v="1"/>
    <n v="42"/>
    <x v="2"/>
  </r>
  <r>
    <x v="649"/>
    <x v="12"/>
    <n v="163"/>
    <x v="1"/>
    <x v="196"/>
    <n v="76"/>
    <n v="4.4000000000000004"/>
    <n v="2024"/>
    <x v="1"/>
    <s v="More than 2 hours"/>
    <x v="2"/>
    <s v="Happy"/>
    <x v="1"/>
    <n v="28"/>
    <x v="0"/>
  </r>
  <r>
    <x v="650"/>
    <x v="5"/>
    <n v="71"/>
    <x v="0"/>
    <x v="197"/>
    <n v="170"/>
    <n v="3.5"/>
    <n v="2024"/>
    <x v="3"/>
    <s v="1 to 2 hours"/>
    <x v="2"/>
    <s v="Happy"/>
    <x v="1"/>
    <n v="22"/>
    <x v="2"/>
  </r>
  <r>
    <x v="651"/>
    <x v="13"/>
    <n v="103"/>
    <x v="4"/>
    <x v="198"/>
    <n v="117"/>
    <n v="4.7"/>
    <n v="2024"/>
    <x v="4"/>
    <s v="1 to 2 hours"/>
    <x v="0"/>
    <s v="Happy"/>
    <x v="0"/>
    <n v="41"/>
    <x v="1"/>
  </r>
  <r>
    <x v="652"/>
    <x v="10"/>
    <n v="69"/>
    <x v="1"/>
    <x v="198"/>
    <n v="20"/>
    <n v="4.3"/>
    <n v="2024"/>
    <x v="4"/>
    <s v="1 to 2 hours"/>
    <x v="2"/>
    <s v="Happy"/>
    <x v="0"/>
    <n v="23"/>
    <x v="1"/>
  </r>
  <r>
    <x v="653"/>
    <x v="12"/>
    <n v="111"/>
    <x v="4"/>
    <x v="198"/>
    <n v="99"/>
    <n v="4.0999999999999996"/>
    <n v="2024"/>
    <x v="4"/>
    <s v="1 to 2 hours"/>
    <x v="2"/>
    <s v="Happy"/>
    <x v="1"/>
    <n v="28"/>
    <x v="0"/>
  </r>
  <r>
    <x v="654"/>
    <x v="6"/>
    <n v="97"/>
    <x v="1"/>
    <x v="199"/>
    <n v="105"/>
    <n v="2.9"/>
    <n v="2024"/>
    <x v="5"/>
    <s v="1 to 2 hours"/>
    <x v="1"/>
    <b v="0"/>
    <x v="1"/>
    <n v="30"/>
    <x v="2"/>
  </r>
  <r>
    <x v="655"/>
    <x v="7"/>
    <n v="144"/>
    <x v="3"/>
    <x v="199"/>
    <n v="195"/>
    <n v="3.4"/>
    <n v="2024"/>
    <x v="5"/>
    <s v="More than 2 hours"/>
    <x v="1"/>
    <b v="0"/>
    <x v="1"/>
    <n v="37"/>
    <x v="2"/>
  </r>
  <r>
    <x v="656"/>
    <x v="2"/>
    <n v="56"/>
    <x v="1"/>
    <x v="200"/>
    <n v="152"/>
    <n v="4.5999999999999996"/>
    <n v="2024"/>
    <x v="6"/>
    <s v="30 to 60 mins"/>
    <x v="0"/>
    <s v="Happy"/>
    <x v="0"/>
    <n v="37"/>
    <x v="1"/>
  </r>
  <r>
    <x v="657"/>
    <x v="7"/>
    <n v="132"/>
    <x v="3"/>
    <x v="201"/>
    <n v="195"/>
    <n v="4.9000000000000004"/>
    <n v="2024"/>
    <x v="0"/>
    <s v="More than 2 hours"/>
    <x v="0"/>
    <s v="Happy"/>
    <x v="1"/>
    <n v="37"/>
    <x v="2"/>
  </r>
  <r>
    <x v="658"/>
    <x v="5"/>
    <n v="72"/>
    <x v="2"/>
    <x v="201"/>
    <n v="70"/>
    <n v="3.6"/>
    <n v="2024"/>
    <x v="0"/>
    <s v="1 to 2 hours"/>
    <x v="2"/>
    <s v="Happy"/>
    <x v="1"/>
    <n v="22"/>
    <x v="2"/>
  </r>
  <r>
    <x v="659"/>
    <x v="12"/>
    <n v="18"/>
    <x v="2"/>
    <x v="201"/>
    <n v="22"/>
    <n v="3.5"/>
    <n v="2024"/>
    <x v="0"/>
    <s v="10 to 30 mins"/>
    <x v="2"/>
    <s v="Happy"/>
    <x v="1"/>
    <n v="28"/>
    <x v="0"/>
  </r>
  <r>
    <x v="660"/>
    <x v="4"/>
    <n v="115"/>
    <x v="4"/>
    <x v="202"/>
    <n v="40"/>
    <n v="3.3"/>
    <n v="2024"/>
    <x v="1"/>
    <s v="1 to 2 hours"/>
    <x v="1"/>
    <b v="0"/>
    <x v="1"/>
    <n v="30"/>
    <x v="0"/>
  </r>
  <r>
    <x v="661"/>
    <x v="4"/>
    <n v="124"/>
    <x v="1"/>
    <x v="203"/>
    <n v="54"/>
    <n v="3.8"/>
    <n v="2024"/>
    <x v="2"/>
    <s v="More than 2 hours"/>
    <x v="2"/>
    <s v="Happy"/>
    <x v="1"/>
    <n v="30"/>
    <x v="0"/>
  </r>
  <r>
    <x v="662"/>
    <x v="1"/>
    <n v="130"/>
    <x v="1"/>
    <x v="203"/>
    <n v="60"/>
    <n v="2.5"/>
    <n v="2024"/>
    <x v="2"/>
    <s v="More than 2 hours"/>
    <x v="1"/>
    <b v="0"/>
    <x v="0"/>
    <n v="36"/>
    <x v="0"/>
  </r>
  <r>
    <x v="663"/>
    <x v="11"/>
    <n v="120"/>
    <x v="0"/>
    <x v="204"/>
    <n v="58"/>
    <n v="4.5999999999999996"/>
    <n v="2024"/>
    <x v="4"/>
    <s v="1 to 2 hours"/>
    <x v="0"/>
    <s v="Happy"/>
    <x v="1"/>
    <n v="43"/>
    <x v="2"/>
  </r>
  <r>
    <x v="664"/>
    <x v="6"/>
    <n v="75"/>
    <x v="4"/>
    <x v="204"/>
    <n v="220"/>
    <n v="4.7"/>
    <n v="2024"/>
    <x v="4"/>
    <s v="1 to 2 hours"/>
    <x v="0"/>
    <s v="Happy"/>
    <x v="1"/>
    <n v="30"/>
    <x v="2"/>
  </r>
  <r>
    <x v="665"/>
    <x v="0"/>
    <n v="63"/>
    <x v="4"/>
    <x v="204"/>
    <n v="27"/>
    <n v="3.6"/>
    <n v="2024"/>
    <x v="4"/>
    <s v="1 to 2 hours"/>
    <x v="2"/>
    <s v="Happy"/>
    <x v="0"/>
    <n v="26"/>
    <x v="0"/>
  </r>
  <r>
    <x v="666"/>
    <x v="7"/>
    <n v="74"/>
    <x v="4"/>
    <x v="205"/>
    <n v="26"/>
    <n v="4.3"/>
    <n v="2024"/>
    <x v="6"/>
    <s v="1 to 2 hours"/>
    <x v="2"/>
    <s v="Happy"/>
    <x v="1"/>
    <n v="37"/>
    <x v="2"/>
  </r>
  <r>
    <x v="667"/>
    <x v="10"/>
    <n v="134"/>
    <x v="3"/>
    <x v="206"/>
    <n v="160"/>
    <n v="4.7"/>
    <n v="2024"/>
    <x v="0"/>
    <s v="More than 2 hours"/>
    <x v="0"/>
    <s v="Happy"/>
    <x v="0"/>
    <n v="23"/>
    <x v="1"/>
  </r>
  <r>
    <x v="668"/>
    <x v="12"/>
    <n v="103"/>
    <x v="1"/>
    <x v="206"/>
    <n v="200"/>
    <n v="4.9000000000000004"/>
    <n v="2024"/>
    <x v="0"/>
    <s v="1 to 2 hours"/>
    <x v="0"/>
    <s v="Happy"/>
    <x v="1"/>
    <n v="28"/>
    <x v="0"/>
  </r>
  <r>
    <x v="669"/>
    <x v="12"/>
    <n v="155"/>
    <x v="0"/>
    <x v="207"/>
    <n v="135"/>
    <n v="4.9000000000000004"/>
    <n v="2024"/>
    <x v="3"/>
    <s v="More than 2 hours"/>
    <x v="0"/>
    <s v="Happy"/>
    <x v="1"/>
    <n v="28"/>
    <x v="0"/>
  </r>
  <r>
    <x v="670"/>
    <x v="0"/>
    <n v="128"/>
    <x v="1"/>
    <x v="208"/>
    <n v="22"/>
    <n v="1.9"/>
    <n v="2024"/>
    <x v="4"/>
    <s v="More than 2 hours"/>
    <x v="3"/>
    <b v="0"/>
    <x v="0"/>
    <n v="26"/>
    <x v="0"/>
  </r>
  <r>
    <x v="671"/>
    <x v="6"/>
    <n v="89"/>
    <x v="3"/>
    <x v="209"/>
    <n v="164"/>
    <n v="4.5"/>
    <n v="2024"/>
    <x v="5"/>
    <s v="1 to 2 hours"/>
    <x v="0"/>
    <s v="Happy"/>
    <x v="1"/>
    <n v="30"/>
    <x v="2"/>
  </r>
  <r>
    <x v="672"/>
    <x v="4"/>
    <n v="81"/>
    <x v="0"/>
    <x v="209"/>
    <n v="21"/>
    <n v="4.9000000000000004"/>
    <n v="2024"/>
    <x v="5"/>
    <s v="1 to 2 hours"/>
    <x v="0"/>
    <s v="Happy"/>
    <x v="1"/>
    <n v="30"/>
    <x v="0"/>
  </r>
  <r>
    <x v="673"/>
    <x v="6"/>
    <n v="66"/>
    <x v="3"/>
    <x v="210"/>
    <n v="120"/>
    <n v="4.5"/>
    <n v="2024"/>
    <x v="6"/>
    <s v="1 to 2 hours"/>
    <x v="0"/>
    <s v="Happy"/>
    <x v="1"/>
    <n v="30"/>
    <x v="2"/>
  </r>
  <r>
    <x v="674"/>
    <x v="5"/>
    <n v="61"/>
    <x v="2"/>
    <x v="210"/>
    <n v="93"/>
    <n v="2.7"/>
    <n v="2024"/>
    <x v="6"/>
    <s v="1 to 2 hours"/>
    <x v="1"/>
    <b v="0"/>
    <x v="1"/>
    <n v="22"/>
    <x v="2"/>
  </r>
  <r>
    <x v="675"/>
    <x v="4"/>
    <n v="128"/>
    <x v="2"/>
    <x v="210"/>
    <n v="135"/>
    <n v="2.1"/>
    <n v="2024"/>
    <x v="6"/>
    <s v="More than 2 hours"/>
    <x v="3"/>
    <b v="0"/>
    <x v="1"/>
    <n v="30"/>
    <x v="0"/>
  </r>
  <r>
    <x v="676"/>
    <x v="12"/>
    <n v="30"/>
    <x v="0"/>
    <x v="210"/>
    <n v="210"/>
    <n v="4.2"/>
    <n v="2024"/>
    <x v="6"/>
    <s v="10 to 30 mins"/>
    <x v="2"/>
    <s v="Happy"/>
    <x v="1"/>
    <n v="28"/>
    <x v="0"/>
  </r>
  <r>
    <x v="677"/>
    <x v="14"/>
    <n v="63"/>
    <x v="2"/>
    <x v="211"/>
    <n v="29"/>
    <n v="4.7"/>
    <n v="2024"/>
    <x v="0"/>
    <s v="1 to 2 hours"/>
    <x v="0"/>
    <s v="Happy"/>
    <x v="1"/>
    <n v="42"/>
    <x v="2"/>
  </r>
  <r>
    <x v="678"/>
    <x v="8"/>
    <n v="64"/>
    <x v="4"/>
    <x v="211"/>
    <n v="111"/>
    <n v="3.9"/>
    <n v="2024"/>
    <x v="0"/>
    <s v="1 to 2 hours"/>
    <x v="2"/>
    <s v="Happy"/>
    <x v="0"/>
    <n v="31"/>
    <x v="2"/>
  </r>
  <r>
    <x v="679"/>
    <x v="3"/>
    <n v="151"/>
    <x v="1"/>
    <x v="212"/>
    <n v="63"/>
    <n v="4.0999999999999996"/>
    <n v="2024"/>
    <x v="1"/>
    <s v="More than 2 hours"/>
    <x v="2"/>
    <s v="Happy"/>
    <x v="1"/>
    <n v="38"/>
    <x v="1"/>
  </r>
  <r>
    <x v="680"/>
    <x v="13"/>
    <n v="116"/>
    <x v="3"/>
    <x v="212"/>
    <n v="44"/>
    <n v="3.8"/>
    <n v="2024"/>
    <x v="1"/>
    <s v="1 to 2 hours"/>
    <x v="2"/>
    <s v="Happy"/>
    <x v="0"/>
    <n v="41"/>
    <x v="1"/>
  </r>
  <r>
    <x v="681"/>
    <x v="3"/>
    <n v="111"/>
    <x v="3"/>
    <x v="213"/>
    <n v="120"/>
    <n v="1.8"/>
    <n v="2024"/>
    <x v="3"/>
    <s v="1 to 2 hours"/>
    <x v="3"/>
    <b v="0"/>
    <x v="1"/>
    <n v="38"/>
    <x v="1"/>
  </r>
  <r>
    <x v="682"/>
    <x v="4"/>
    <n v="15"/>
    <x v="3"/>
    <x v="213"/>
    <n v="120"/>
    <n v="4.0999999999999996"/>
    <n v="2024"/>
    <x v="3"/>
    <s v="10 to 30 mins"/>
    <x v="2"/>
    <s v="Happy"/>
    <x v="1"/>
    <n v="30"/>
    <x v="0"/>
  </r>
  <r>
    <x v="683"/>
    <x v="8"/>
    <n v="18"/>
    <x v="1"/>
    <x v="214"/>
    <n v="40"/>
    <n v="4.4000000000000004"/>
    <n v="2024"/>
    <x v="4"/>
    <s v="10 to 30 mins"/>
    <x v="2"/>
    <s v="Happy"/>
    <x v="0"/>
    <n v="31"/>
    <x v="2"/>
  </r>
  <r>
    <x v="684"/>
    <x v="5"/>
    <n v="146"/>
    <x v="2"/>
    <x v="214"/>
    <n v="160"/>
    <n v="4.0999999999999996"/>
    <n v="2024"/>
    <x v="4"/>
    <s v="More than 2 hours"/>
    <x v="2"/>
    <s v="Happy"/>
    <x v="1"/>
    <n v="22"/>
    <x v="2"/>
  </r>
  <r>
    <x v="685"/>
    <x v="12"/>
    <n v="73"/>
    <x v="3"/>
    <x v="215"/>
    <n v="44"/>
    <n v="3.8"/>
    <n v="2024"/>
    <x v="5"/>
    <s v="1 to 2 hours"/>
    <x v="2"/>
    <s v="Happy"/>
    <x v="1"/>
    <n v="28"/>
    <x v="0"/>
  </r>
  <r>
    <x v="686"/>
    <x v="3"/>
    <n v="108"/>
    <x v="1"/>
    <x v="215"/>
    <n v="80"/>
    <n v="4.3"/>
    <n v="2024"/>
    <x v="5"/>
    <s v="1 to 2 hours"/>
    <x v="2"/>
    <s v="Happy"/>
    <x v="1"/>
    <n v="38"/>
    <x v="1"/>
  </r>
  <r>
    <x v="687"/>
    <x v="10"/>
    <n v="52"/>
    <x v="1"/>
    <x v="216"/>
    <n v="66"/>
    <n v="4.5"/>
    <n v="2024"/>
    <x v="6"/>
    <s v="30 to 60 mins"/>
    <x v="0"/>
    <s v="Happy"/>
    <x v="0"/>
    <n v="23"/>
    <x v="1"/>
  </r>
  <r>
    <x v="688"/>
    <x v="13"/>
    <n v="165"/>
    <x v="4"/>
    <x v="216"/>
    <n v="82"/>
    <n v="3.4"/>
    <n v="2024"/>
    <x v="6"/>
    <s v="More than 2 hours"/>
    <x v="1"/>
    <b v="0"/>
    <x v="0"/>
    <n v="41"/>
    <x v="1"/>
  </r>
  <r>
    <x v="689"/>
    <x v="5"/>
    <n v="104"/>
    <x v="3"/>
    <x v="216"/>
    <n v="66"/>
    <n v="4.8"/>
    <n v="2024"/>
    <x v="6"/>
    <s v="1 to 2 hours"/>
    <x v="0"/>
    <s v="Happy"/>
    <x v="1"/>
    <n v="22"/>
    <x v="2"/>
  </r>
  <r>
    <x v="690"/>
    <x v="12"/>
    <n v="131"/>
    <x v="2"/>
    <x v="216"/>
    <n v="92"/>
    <n v="4.9000000000000004"/>
    <n v="2024"/>
    <x v="6"/>
    <s v="More than 2 hours"/>
    <x v="0"/>
    <s v="Happy"/>
    <x v="1"/>
    <n v="28"/>
    <x v="0"/>
  </r>
  <r>
    <x v="691"/>
    <x v="11"/>
    <n v="80"/>
    <x v="4"/>
    <x v="217"/>
    <n v="104"/>
    <n v="4.7"/>
    <n v="2024"/>
    <x v="0"/>
    <s v="1 to 2 hours"/>
    <x v="0"/>
    <s v="Happy"/>
    <x v="1"/>
    <n v="43"/>
    <x v="2"/>
  </r>
  <r>
    <x v="692"/>
    <x v="4"/>
    <n v="49"/>
    <x v="3"/>
    <x v="217"/>
    <n v="105"/>
    <n v="3.3"/>
    <n v="2024"/>
    <x v="0"/>
    <s v="30 to 60 mins"/>
    <x v="1"/>
    <b v="0"/>
    <x v="1"/>
    <n v="30"/>
    <x v="0"/>
  </r>
  <r>
    <x v="693"/>
    <x v="13"/>
    <n v="73"/>
    <x v="3"/>
    <x v="217"/>
    <n v="100"/>
    <n v="2.8"/>
    <n v="2024"/>
    <x v="0"/>
    <s v="1 to 2 hours"/>
    <x v="1"/>
    <b v="0"/>
    <x v="0"/>
    <n v="41"/>
    <x v="1"/>
  </r>
  <r>
    <x v="694"/>
    <x v="5"/>
    <n v="117"/>
    <x v="4"/>
    <x v="217"/>
    <n v="90"/>
    <n v="4.0999999999999996"/>
    <n v="2024"/>
    <x v="0"/>
    <s v="1 to 2 hours"/>
    <x v="2"/>
    <s v="Happy"/>
    <x v="1"/>
    <n v="22"/>
    <x v="2"/>
  </r>
  <r>
    <x v="695"/>
    <x v="2"/>
    <n v="38"/>
    <x v="0"/>
    <x v="217"/>
    <n v="110"/>
    <n v="3.5"/>
    <n v="2024"/>
    <x v="0"/>
    <s v="30 to 60 mins"/>
    <x v="2"/>
    <s v="Happy"/>
    <x v="0"/>
    <n v="37"/>
    <x v="1"/>
  </r>
  <r>
    <x v="696"/>
    <x v="10"/>
    <n v="109"/>
    <x v="4"/>
    <x v="218"/>
    <n v="68"/>
    <n v="2.2999999999999998"/>
    <n v="2024"/>
    <x v="2"/>
    <s v="1 to 2 hours"/>
    <x v="3"/>
    <b v="0"/>
    <x v="0"/>
    <n v="23"/>
    <x v="1"/>
  </r>
  <r>
    <x v="697"/>
    <x v="4"/>
    <n v="70"/>
    <x v="1"/>
    <x v="219"/>
    <n v="210"/>
    <n v="4.0999999999999996"/>
    <n v="2024"/>
    <x v="3"/>
    <s v="1 to 2 hours"/>
    <x v="2"/>
    <s v="Happy"/>
    <x v="1"/>
    <n v="30"/>
    <x v="0"/>
  </r>
  <r>
    <x v="698"/>
    <x v="1"/>
    <n v="51"/>
    <x v="0"/>
    <x v="219"/>
    <n v="111"/>
    <n v="4.3"/>
    <n v="2024"/>
    <x v="3"/>
    <s v="30 to 60 mins"/>
    <x v="2"/>
    <s v="Happy"/>
    <x v="0"/>
    <n v="36"/>
    <x v="0"/>
  </r>
  <r>
    <x v="699"/>
    <x v="1"/>
    <n v="100"/>
    <x v="1"/>
    <x v="220"/>
    <n v="45"/>
    <n v="4.9000000000000004"/>
    <n v="2024"/>
    <x v="4"/>
    <s v="1 to 2 hours"/>
    <x v="0"/>
    <s v="Happy"/>
    <x v="0"/>
    <n v="36"/>
    <x v="0"/>
  </r>
  <r>
    <x v="700"/>
    <x v="7"/>
    <n v="124"/>
    <x v="0"/>
    <x v="221"/>
    <n v="132"/>
    <n v="4"/>
    <n v="2024"/>
    <x v="5"/>
    <s v="More than 2 hours"/>
    <x v="2"/>
    <s v="Happy"/>
    <x v="1"/>
    <n v="37"/>
    <x v="2"/>
  </r>
  <r>
    <x v="701"/>
    <x v="0"/>
    <n v="143"/>
    <x v="4"/>
    <x v="221"/>
    <n v="20"/>
    <n v="4.7"/>
    <n v="2024"/>
    <x v="5"/>
    <s v="More than 2 hours"/>
    <x v="0"/>
    <s v="Happy"/>
    <x v="0"/>
    <n v="26"/>
    <x v="0"/>
  </r>
  <r>
    <x v="702"/>
    <x v="6"/>
    <n v="96"/>
    <x v="3"/>
    <x v="221"/>
    <n v="36"/>
    <n v="3.4"/>
    <n v="2024"/>
    <x v="5"/>
    <s v="1 to 2 hours"/>
    <x v="1"/>
    <b v="0"/>
    <x v="1"/>
    <n v="30"/>
    <x v="2"/>
  </r>
  <r>
    <x v="703"/>
    <x v="13"/>
    <n v="84"/>
    <x v="1"/>
    <x v="222"/>
    <n v="72"/>
    <n v="4"/>
    <n v="2024"/>
    <x v="0"/>
    <s v="1 to 2 hours"/>
    <x v="2"/>
    <s v="Happy"/>
    <x v="0"/>
    <n v="41"/>
    <x v="1"/>
  </r>
  <r>
    <x v="704"/>
    <x v="9"/>
    <n v="111"/>
    <x v="1"/>
    <x v="222"/>
    <n v="63"/>
    <n v="4.5"/>
    <n v="2024"/>
    <x v="0"/>
    <s v="1 to 2 hours"/>
    <x v="0"/>
    <s v="Happy"/>
    <x v="1"/>
    <n v="25"/>
    <x v="1"/>
  </r>
  <r>
    <x v="705"/>
    <x v="9"/>
    <n v="103"/>
    <x v="0"/>
    <x v="223"/>
    <n v="44"/>
    <n v="4.5"/>
    <n v="2024"/>
    <x v="1"/>
    <s v="1 to 2 hours"/>
    <x v="0"/>
    <s v="Happy"/>
    <x v="1"/>
    <n v="25"/>
    <x v="1"/>
  </r>
  <r>
    <x v="706"/>
    <x v="0"/>
    <n v="61"/>
    <x v="2"/>
    <x v="223"/>
    <n v="132"/>
    <n v="4.9000000000000004"/>
    <n v="2024"/>
    <x v="1"/>
    <s v="1 to 2 hours"/>
    <x v="0"/>
    <s v="Happy"/>
    <x v="0"/>
    <n v="26"/>
    <x v="0"/>
  </r>
  <r>
    <x v="707"/>
    <x v="12"/>
    <n v="113"/>
    <x v="3"/>
    <x v="223"/>
    <n v="46"/>
    <n v="4.4000000000000004"/>
    <n v="2024"/>
    <x v="1"/>
    <s v="1 to 2 hours"/>
    <x v="2"/>
    <s v="Happy"/>
    <x v="1"/>
    <n v="28"/>
    <x v="0"/>
  </r>
  <r>
    <x v="708"/>
    <x v="12"/>
    <n v="96"/>
    <x v="3"/>
    <x v="223"/>
    <n v="96"/>
    <n v="2.9"/>
    <n v="2024"/>
    <x v="1"/>
    <s v="1 to 2 hours"/>
    <x v="1"/>
    <b v="0"/>
    <x v="1"/>
    <n v="28"/>
    <x v="0"/>
  </r>
  <r>
    <x v="709"/>
    <x v="8"/>
    <n v="131"/>
    <x v="0"/>
    <x v="224"/>
    <n v="75"/>
    <n v="4.4000000000000004"/>
    <n v="2024"/>
    <x v="2"/>
    <s v="More than 2 hours"/>
    <x v="2"/>
    <s v="Happy"/>
    <x v="0"/>
    <n v="31"/>
    <x v="2"/>
  </r>
  <r>
    <x v="710"/>
    <x v="5"/>
    <n v="52"/>
    <x v="3"/>
    <x v="225"/>
    <n v="88"/>
    <n v="4.3"/>
    <n v="2024"/>
    <x v="3"/>
    <s v="30 to 60 mins"/>
    <x v="2"/>
    <s v="Happy"/>
    <x v="1"/>
    <n v="22"/>
    <x v="2"/>
  </r>
  <r>
    <x v="711"/>
    <x v="1"/>
    <n v="100"/>
    <x v="0"/>
    <x v="225"/>
    <n v="24"/>
    <n v="4.7"/>
    <n v="2024"/>
    <x v="3"/>
    <s v="1 to 2 hours"/>
    <x v="0"/>
    <s v="Happy"/>
    <x v="0"/>
    <n v="36"/>
    <x v="0"/>
  </r>
  <r>
    <x v="712"/>
    <x v="3"/>
    <n v="58"/>
    <x v="4"/>
    <x v="225"/>
    <n v="96"/>
    <n v="3.2"/>
    <n v="2024"/>
    <x v="3"/>
    <s v="30 to 60 mins"/>
    <x v="1"/>
    <b v="0"/>
    <x v="1"/>
    <n v="38"/>
    <x v="1"/>
  </r>
  <r>
    <x v="713"/>
    <x v="4"/>
    <n v="144"/>
    <x v="4"/>
    <x v="226"/>
    <n v="124"/>
    <n v="2.2999999999999998"/>
    <n v="2024"/>
    <x v="4"/>
    <s v="More than 2 hours"/>
    <x v="3"/>
    <b v="0"/>
    <x v="1"/>
    <n v="30"/>
    <x v="0"/>
  </r>
  <r>
    <x v="714"/>
    <x v="3"/>
    <n v="53"/>
    <x v="2"/>
    <x v="227"/>
    <n v="130"/>
    <n v="3.6"/>
    <n v="2024"/>
    <x v="5"/>
    <s v="30 to 60 mins"/>
    <x v="2"/>
    <s v="Happy"/>
    <x v="1"/>
    <n v="38"/>
    <x v="1"/>
  </r>
  <r>
    <x v="715"/>
    <x v="12"/>
    <n v="97"/>
    <x v="1"/>
    <x v="227"/>
    <n v="45"/>
    <n v="4.5999999999999996"/>
    <n v="2024"/>
    <x v="5"/>
    <s v="1 to 2 hours"/>
    <x v="0"/>
    <s v="Happy"/>
    <x v="1"/>
    <n v="28"/>
    <x v="0"/>
  </r>
  <r>
    <x v="716"/>
    <x v="2"/>
    <n v="64"/>
    <x v="4"/>
    <x v="227"/>
    <n v="66"/>
    <n v="4"/>
    <n v="2024"/>
    <x v="5"/>
    <s v="1 to 2 hours"/>
    <x v="2"/>
    <s v="Happy"/>
    <x v="0"/>
    <n v="37"/>
    <x v="1"/>
  </r>
  <r>
    <x v="717"/>
    <x v="0"/>
    <n v="106"/>
    <x v="0"/>
    <x v="227"/>
    <n v="58"/>
    <n v="4.7"/>
    <n v="2024"/>
    <x v="5"/>
    <s v="1 to 2 hours"/>
    <x v="0"/>
    <s v="Happy"/>
    <x v="0"/>
    <n v="26"/>
    <x v="0"/>
  </r>
  <r>
    <x v="718"/>
    <x v="13"/>
    <n v="36"/>
    <x v="4"/>
    <x v="228"/>
    <n v="152"/>
    <n v="4.3"/>
    <n v="2024"/>
    <x v="6"/>
    <s v="30 to 60 mins"/>
    <x v="2"/>
    <s v="Happy"/>
    <x v="0"/>
    <n v="41"/>
    <x v="1"/>
  </r>
  <r>
    <x v="719"/>
    <x v="4"/>
    <n v="74"/>
    <x v="3"/>
    <x v="228"/>
    <n v="75"/>
    <n v="2.8"/>
    <n v="2024"/>
    <x v="6"/>
    <s v="1 to 2 hours"/>
    <x v="1"/>
    <b v="0"/>
    <x v="1"/>
    <n v="30"/>
    <x v="0"/>
  </r>
  <r>
    <x v="720"/>
    <x v="10"/>
    <n v="143"/>
    <x v="1"/>
    <x v="228"/>
    <n v="78"/>
    <n v="4"/>
    <n v="2024"/>
    <x v="6"/>
    <s v="More than 2 hours"/>
    <x v="2"/>
    <s v="Happy"/>
    <x v="0"/>
    <n v="23"/>
    <x v="1"/>
  </r>
  <r>
    <x v="721"/>
    <x v="0"/>
    <n v="94"/>
    <x v="2"/>
    <x v="228"/>
    <n v="69"/>
    <n v="3.9"/>
    <n v="2024"/>
    <x v="6"/>
    <s v="1 to 2 hours"/>
    <x v="2"/>
    <s v="Happy"/>
    <x v="0"/>
    <n v="26"/>
    <x v="0"/>
  </r>
  <r>
    <x v="722"/>
    <x v="11"/>
    <n v="124"/>
    <x v="0"/>
    <x v="229"/>
    <n v="46"/>
    <n v="3.1"/>
    <n v="2024"/>
    <x v="0"/>
    <s v="More than 2 hours"/>
    <x v="1"/>
    <b v="0"/>
    <x v="1"/>
    <n v="43"/>
    <x v="2"/>
  </r>
  <r>
    <x v="723"/>
    <x v="13"/>
    <n v="156"/>
    <x v="4"/>
    <x v="229"/>
    <n v="64"/>
    <n v="2.7"/>
    <n v="2024"/>
    <x v="0"/>
    <s v="More than 2 hours"/>
    <x v="1"/>
    <b v="0"/>
    <x v="0"/>
    <n v="41"/>
    <x v="1"/>
  </r>
  <r>
    <x v="724"/>
    <x v="6"/>
    <n v="107"/>
    <x v="1"/>
    <x v="229"/>
    <n v="38"/>
    <n v="4.7"/>
    <n v="2024"/>
    <x v="0"/>
    <s v="1 to 2 hours"/>
    <x v="0"/>
    <s v="Happy"/>
    <x v="1"/>
    <n v="30"/>
    <x v="2"/>
  </r>
  <r>
    <x v="725"/>
    <x v="0"/>
    <n v="58"/>
    <x v="1"/>
    <x v="230"/>
    <n v="90"/>
    <n v="4.3"/>
    <n v="2024"/>
    <x v="2"/>
    <s v="30 to 60 mins"/>
    <x v="2"/>
    <s v="Happy"/>
    <x v="0"/>
    <n v="26"/>
    <x v="0"/>
  </r>
  <r>
    <x v="726"/>
    <x v="7"/>
    <n v="66"/>
    <x v="1"/>
    <x v="230"/>
    <n v="32"/>
    <n v="3.8"/>
    <n v="2024"/>
    <x v="2"/>
    <s v="1 to 2 hours"/>
    <x v="2"/>
    <s v="Happy"/>
    <x v="1"/>
    <n v="37"/>
    <x v="2"/>
  </r>
  <r>
    <x v="727"/>
    <x v="8"/>
    <n v="75"/>
    <x v="4"/>
    <x v="230"/>
    <n v="120"/>
    <n v="4.4000000000000004"/>
    <n v="2024"/>
    <x v="2"/>
    <s v="1 to 2 hours"/>
    <x v="2"/>
    <s v="Happy"/>
    <x v="0"/>
    <n v="31"/>
    <x v="2"/>
  </r>
  <r>
    <x v="728"/>
    <x v="6"/>
    <n v="8"/>
    <x v="1"/>
    <x v="230"/>
    <n v="31"/>
    <n v="3.9"/>
    <n v="2024"/>
    <x v="2"/>
    <s v="Under 10 mins"/>
    <x v="2"/>
    <s v="Happy"/>
    <x v="1"/>
    <n v="30"/>
    <x v="2"/>
  </r>
  <r>
    <x v="729"/>
    <x v="2"/>
    <n v="76"/>
    <x v="4"/>
    <x v="231"/>
    <n v="108"/>
    <n v="4.9000000000000004"/>
    <n v="2024"/>
    <x v="3"/>
    <s v="1 to 2 hours"/>
    <x v="0"/>
    <s v="Happy"/>
    <x v="0"/>
    <n v="37"/>
    <x v="1"/>
  </r>
  <r>
    <x v="730"/>
    <x v="0"/>
    <n v="110"/>
    <x v="4"/>
    <x v="231"/>
    <n v="180"/>
    <n v="4.2"/>
    <n v="2024"/>
    <x v="3"/>
    <s v="1 to 2 hours"/>
    <x v="2"/>
    <s v="Happy"/>
    <x v="0"/>
    <n v="26"/>
    <x v="0"/>
  </r>
  <r>
    <x v="731"/>
    <x v="7"/>
    <n v="50"/>
    <x v="2"/>
    <x v="232"/>
    <n v="124"/>
    <n v="4"/>
    <n v="2024"/>
    <x v="4"/>
    <s v="30 to 60 mins"/>
    <x v="2"/>
    <s v="Happy"/>
    <x v="1"/>
    <n v="37"/>
    <x v="2"/>
  </r>
  <r>
    <x v="732"/>
    <x v="5"/>
    <n v="78"/>
    <x v="2"/>
    <x v="232"/>
    <n v="23"/>
    <n v="4.2"/>
    <n v="2024"/>
    <x v="4"/>
    <s v="1 to 2 hours"/>
    <x v="2"/>
    <s v="Happy"/>
    <x v="1"/>
    <n v="22"/>
    <x v="2"/>
  </r>
  <r>
    <x v="733"/>
    <x v="12"/>
    <n v="59"/>
    <x v="0"/>
    <x v="233"/>
    <n v="24"/>
    <n v="4.8"/>
    <n v="2024"/>
    <x v="5"/>
    <s v="30 to 60 mins"/>
    <x v="0"/>
    <s v="Happy"/>
    <x v="1"/>
    <n v="28"/>
    <x v="0"/>
  </r>
  <r>
    <x v="734"/>
    <x v="5"/>
    <n v="126"/>
    <x v="1"/>
    <x v="234"/>
    <n v="52"/>
    <n v="1.1000000000000001"/>
    <n v="2024"/>
    <x v="6"/>
    <s v="More than 2 hours"/>
    <x v="5"/>
    <b v="0"/>
    <x v="1"/>
    <n v="22"/>
    <x v="2"/>
  </r>
  <r>
    <x v="735"/>
    <x v="2"/>
    <n v="43"/>
    <x v="0"/>
    <x v="235"/>
    <n v="168"/>
    <n v="4"/>
    <n v="2024"/>
    <x v="0"/>
    <s v="30 to 60 mins"/>
    <x v="2"/>
    <s v="Happy"/>
    <x v="0"/>
    <n v="37"/>
    <x v="1"/>
  </r>
  <r>
    <x v="736"/>
    <x v="13"/>
    <n v="79"/>
    <x v="4"/>
    <x v="236"/>
    <n v="125"/>
    <n v="4.8"/>
    <n v="2024"/>
    <x v="2"/>
    <s v="1 to 2 hours"/>
    <x v="0"/>
    <s v="Happy"/>
    <x v="0"/>
    <n v="41"/>
    <x v="1"/>
  </r>
  <r>
    <x v="737"/>
    <x v="0"/>
    <n v="71"/>
    <x v="0"/>
    <x v="237"/>
    <n v="50"/>
    <n v="4.2"/>
    <n v="2024"/>
    <x v="3"/>
    <s v="1 to 2 hours"/>
    <x v="2"/>
    <s v="Happy"/>
    <x v="0"/>
    <n v="26"/>
    <x v="0"/>
  </r>
  <r>
    <x v="738"/>
    <x v="9"/>
    <n v="94"/>
    <x v="1"/>
    <x v="238"/>
    <n v="220"/>
    <n v="4.5999999999999996"/>
    <n v="2024"/>
    <x v="4"/>
    <s v="1 to 2 hours"/>
    <x v="0"/>
    <s v="Happy"/>
    <x v="1"/>
    <n v="25"/>
    <x v="1"/>
  </r>
  <r>
    <x v="739"/>
    <x v="6"/>
    <n v="108"/>
    <x v="0"/>
    <x v="238"/>
    <n v="180"/>
    <n v="4"/>
    <n v="2024"/>
    <x v="4"/>
    <s v="1 to 2 hours"/>
    <x v="2"/>
    <s v="Happy"/>
    <x v="1"/>
    <n v="30"/>
    <x v="2"/>
  </r>
  <r>
    <x v="740"/>
    <x v="2"/>
    <n v="76"/>
    <x v="1"/>
    <x v="238"/>
    <n v="110"/>
    <n v="3.9"/>
    <n v="2024"/>
    <x v="4"/>
    <s v="1 to 2 hours"/>
    <x v="2"/>
    <s v="Happy"/>
    <x v="0"/>
    <n v="37"/>
    <x v="1"/>
  </r>
  <r>
    <x v="741"/>
    <x v="12"/>
    <n v="136"/>
    <x v="0"/>
    <x v="238"/>
    <n v="36"/>
    <n v="2.8"/>
    <n v="2024"/>
    <x v="4"/>
    <s v="More than 2 hours"/>
    <x v="1"/>
    <b v="0"/>
    <x v="1"/>
    <n v="28"/>
    <x v="0"/>
  </r>
  <r>
    <x v="742"/>
    <x v="1"/>
    <n v="129"/>
    <x v="2"/>
    <x v="239"/>
    <n v="93"/>
    <n v="4.7"/>
    <n v="2024"/>
    <x v="5"/>
    <s v="More than 2 hours"/>
    <x v="0"/>
    <s v="Happy"/>
    <x v="0"/>
    <n v="36"/>
    <x v="0"/>
  </r>
  <r>
    <x v="743"/>
    <x v="6"/>
    <n v="120"/>
    <x v="0"/>
    <x v="239"/>
    <n v="38"/>
    <n v="4.2"/>
    <n v="2024"/>
    <x v="5"/>
    <s v="1 to 2 hours"/>
    <x v="2"/>
    <s v="Happy"/>
    <x v="1"/>
    <n v="30"/>
    <x v="2"/>
  </r>
  <r>
    <x v="744"/>
    <x v="2"/>
    <n v="108"/>
    <x v="2"/>
    <x v="240"/>
    <n v="66"/>
    <n v="3.9"/>
    <n v="2024"/>
    <x v="6"/>
    <s v="1 to 2 hours"/>
    <x v="2"/>
    <s v="Happy"/>
    <x v="0"/>
    <n v="37"/>
    <x v="1"/>
  </r>
  <r>
    <x v="745"/>
    <x v="5"/>
    <n v="79"/>
    <x v="0"/>
    <x v="240"/>
    <n v="215"/>
    <n v="4.5999999999999996"/>
    <n v="2024"/>
    <x v="6"/>
    <s v="1 to 2 hours"/>
    <x v="0"/>
    <s v="Happy"/>
    <x v="1"/>
    <n v="22"/>
    <x v="2"/>
  </r>
  <r>
    <x v="746"/>
    <x v="5"/>
    <n v="45"/>
    <x v="2"/>
    <x v="240"/>
    <n v="92"/>
    <n v="4.3"/>
    <n v="2024"/>
    <x v="6"/>
    <s v="30 to 60 mins"/>
    <x v="2"/>
    <s v="Happy"/>
    <x v="1"/>
    <n v="22"/>
    <x v="2"/>
  </r>
  <r>
    <x v="747"/>
    <x v="4"/>
    <n v="96"/>
    <x v="0"/>
    <x v="240"/>
    <n v="80"/>
    <n v="3.6"/>
    <n v="2024"/>
    <x v="6"/>
    <s v="1 to 2 hours"/>
    <x v="2"/>
    <s v="Happy"/>
    <x v="1"/>
    <n v="30"/>
    <x v="0"/>
  </r>
  <r>
    <x v="748"/>
    <x v="4"/>
    <n v="81"/>
    <x v="0"/>
    <x v="241"/>
    <n v="123"/>
    <n v="4.9000000000000004"/>
    <n v="2024"/>
    <x v="0"/>
    <s v="1 to 2 hours"/>
    <x v="0"/>
    <s v="Happy"/>
    <x v="1"/>
    <n v="30"/>
    <x v="0"/>
  </r>
  <r>
    <x v="749"/>
    <x v="12"/>
    <n v="95"/>
    <x v="3"/>
    <x v="241"/>
    <n v="23"/>
    <n v="2.4"/>
    <n v="2024"/>
    <x v="0"/>
    <s v="1 to 2 hours"/>
    <x v="3"/>
    <b v="0"/>
    <x v="1"/>
    <n v="28"/>
    <x v="0"/>
  </r>
  <r>
    <x v="750"/>
    <x v="11"/>
    <n v="159"/>
    <x v="1"/>
    <x v="241"/>
    <n v="63"/>
    <n v="4.2"/>
    <n v="2024"/>
    <x v="0"/>
    <s v="More than 2 hours"/>
    <x v="2"/>
    <s v="Happy"/>
    <x v="1"/>
    <n v="43"/>
    <x v="2"/>
  </r>
  <r>
    <x v="751"/>
    <x v="14"/>
    <n v="109"/>
    <x v="4"/>
    <x v="241"/>
    <n v="52"/>
    <n v="3.9"/>
    <n v="2024"/>
    <x v="0"/>
    <s v="1 to 2 hours"/>
    <x v="2"/>
    <s v="Happy"/>
    <x v="1"/>
    <n v="42"/>
    <x v="2"/>
  </r>
  <r>
    <x v="752"/>
    <x v="5"/>
    <n v="107"/>
    <x v="4"/>
    <x v="241"/>
    <n v="60"/>
    <n v="4.2"/>
    <n v="2024"/>
    <x v="0"/>
    <s v="1 to 2 hours"/>
    <x v="2"/>
    <s v="Happy"/>
    <x v="1"/>
    <n v="22"/>
    <x v="2"/>
  </r>
  <r>
    <x v="753"/>
    <x v="4"/>
    <n v="67"/>
    <x v="2"/>
    <x v="242"/>
    <n v="87"/>
    <n v="3.9"/>
    <n v="2024"/>
    <x v="1"/>
    <s v="1 to 2 hours"/>
    <x v="2"/>
    <s v="Happy"/>
    <x v="1"/>
    <n v="30"/>
    <x v="0"/>
  </r>
  <r>
    <x v="754"/>
    <x v="8"/>
    <n v="96"/>
    <x v="0"/>
    <x v="243"/>
    <n v="42"/>
    <n v="4.5"/>
    <n v="2024"/>
    <x v="2"/>
    <s v="1 to 2 hours"/>
    <x v="0"/>
    <s v="Happy"/>
    <x v="0"/>
    <n v="31"/>
    <x v="2"/>
  </r>
  <r>
    <x v="755"/>
    <x v="10"/>
    <n v="142"/>
    <x v="1"/>
    <x v="244"/>
    <n v="37"/>
    <n v="3.8"/>
    <n v="2024"/>
    <x v="3"/>
    <s v="More than 2 hours"/>
    <x v="2"/>
    <s v="Happy"/>
    <x v="0"/>
    <n v="23"/>
    <x v="1"/>
  </r>
  <r>
    <x v="756"/>
    <x v="10"/>
    <n v="71"/>
    <x v="3"/>
    <x v="244"/>
    <n v="135"/>
    <n v="3.9"/>
    <n v="2024"/>
    <x v="3"/>
    <s v="1 to 2 hours"/>
    <x v="2"/>
    <s v="Happy"/>
    <x v="0"/>
    <n v="23"/>
    <x v="1"/>
  </r>
  <r>
    <x v="757"/>
    <x v="8"/>
    <n v="152"/>
    <x v="3"/>
    <x v="244"/>
    <n v="88"/>
    <n v="4.7"/>
    <n v="2024"/>
    <x v="3"/>
    <s v="More than 2 hours"/>
    <x v="0"/>
    <s v="Happy"/>
    <x v="0"/>
    <n v="31"/>
    <x v="2"/>
  </r>
  <r>
    <x v="758"/>
    <x v="13"/>
    <n v="108"/>
    <x v="1"/>
    <x v="244"/>
    <n v="190"/>
    <n v="3.2"/>
    <n v="2024"/>
    <x v="3"/>
    <s v="1 to 2 hours"/>
    <x v="1"/>
    <b v="0"/>
    <x v="0"/>
    <n v="41"/>
    <x v="1"/>
  </r>
  <r>
    <x v="759"/>
    <x v="13"/>
    <n v="156"/>
    <x v="3"/>
    <x v="244"/>
    <n v="81"/>
    <n v="5"/>
    <n v="2024"/>
    <x v="3"/>
    <s v="More than 2 hours"/>
    <x v="0"/>
    <s v="Happy"/>
    <x v="0"/>
    <n v="41"/>
    <x v="1"/>
  </r>
  <r>
    <x v="760"/>
    <x v="10"/>
    <n v="126"/>
    <x v="1"/>
    <x v="244"/>
    <n v="44"/>
    <n v="3.7"/>
    <n v="2024"/>
    <x v="3"/>
    <s v="More than 2 hours"/>
    <x v="2"/>
    <s v="Happy"/>
    <x v="0"/>
    <n v="23"/>
    <x v="1"/>
  </r>
  <r>
    <x v="761"/>
    <x v="2"/>
    <n v="135"/>
    <x v="3"/>
    <x v="245"/>
    <n v="92"/>
    <n v="3.9"/>
    <n v="2024"/>
    <x v="4"/>
    <s v="More than 2 hours"/>
    <x v="2"/>
    <s v="Happy"/>
    <x v="0"/>
    <n v="37"/>
    <x v="1"/>
  </r>
  <r>
    <x v="762"/>
    <x v="10"/>
    <n v="110"/>
    <x v="0"/>
    <x v="246"/>
    <n v="90"/>
    <n v="3.1"/>
    <n v="2024"/>
    <x v="5"/>
    <s v="1 to 2 hours"/>
    <x v="1"/>
    <b v="0"/>
    <x v="0"/>
    <n v="23"/>
    <x v="1"/>
  </r>
  <r>
    <x v="763"/>
    <x v="11"/>
    <n v="64"/>
    <x v="3"/>
    <x v="246"/>
    <n v="112"/>
    <n v="2"/>
    <n v="2024"/>
    <x v="5"/>
    <s v="1 to 2 hours"/>
    <x v="3"/>
    <b v="0"/>
    <x v="1"/>
    <n v="43"/>
    <x v="2"/>
  </r>
  <r>
    <x v="764"/>
    <x v="9"/>
    <n v="127"/>
    <x v="1"/>
    <x v="246"/>
    <n v="112"/>
    <n v="4.5999999999999996"/>
    <n v="2024"/>
    <x v="5"/>
    <s v="More than 2 hours"/>
    <x v="0"/>
    <s v="Happy"/>
    <x v="1"/>
    <n v="25"/>
    <x v="1"/>
  </r>
  <r>
    <x v="765"/>
    <x v="14"/>
    <n v="124"/>
    <x v="2"/>
    <x v="246"/>
    <n v="48"/>
    <n v="3.7"/>
    <n v="2024"/>
    <x v="5"/>
    <s v="More than 2 hours"/>
    <x v="2"/>
    <s v="Happy"/>
    <x v="1"/>
    <n v="42"/>
    <x v="2"/>
  </r>
  <r>
    <x v="766"/>
    <x v="11"/>
    <n v="125"/>
    <x v="1"/>
    <x v="246"/>
    <n v="116"/>
    <n v="4.4000000000000004"/>
    <n v="2024"/>
    <x v="5"/>
    <s v="More than 2 hours"/>
    <x v="2"/>
    <s v="Happy"/>
    <x v="1"/>
    <n v="43"/>
    <x v="2"/>
  </r>
  <r>
    <x v="767"/>
    <x v="1"/>
    <n v="70"/>
    <x v="1"/>
    <x v="246"/>
    <n v="29"/>
    <n v="2.1"/>
    <n v="2024"/>
    <x v="5"/>
    <s v="1 to 2 hours"/>
    <x v="3"/>
    <b v="0"/>
    <x v="0"/>
    <n v="36"/>
    <x v="0"/>
  </r>
  <r>
    <x v="768"/>
    <x v="9"/>
    <n v="93"/>
    <x v="3"/>
    <x v="247"/>
    <n v="170"/>
    <n v="2.2000000000000002"/>
    <n v="2024"/>
    <x v="6"/>
    <s v="1 to 2 hours"/>
    <x v="3"/>
    <b v="0"/>
    <x v="1"/>
    <n v="25"/>
    <x v="1"/>
  </r>
  <r>
    <x v="769"/>
    <x v="1"/>
    <n v="120"/>
    <x v="4"/>
    <x v="247"/>
    <n v="68"/>
    <n v="3.4"/>
    <n v="2024"/>
    <x v="6"/>
    <s v="1 to 2 hours"/>
    <x v="1"/>
    <b v="0"/>
    <x v="0"/>
    <n v="36"/>
    <x v="0"/>
  </r>
  <r>
    <x v="770"/>
    <x v="4"/>
    <n v="96"/>
    <x v="0"/>
    <x v="247"/>
    <n v="195"/>
    <n v="2.7"/>
    <n v="2024"/>
    <x v="6"/>
    <s v="1 to 2 hours"/>
    <x v="1"/>
    <b v="0"/>
    <x v="1"/>
    <n v="30"/>
    <x v="0"/>
  </r>
  <r>
    <x v="771"/>
    <x v="3"/>
    <n v="67"/>
    <x v="0"/>
    <x v="247"/>
    <n v="96"/>
    <n v="3.7"/>
    <n v="2024"/>
    <x v="6"/>
    <s v="1 to 2 hours"/>
    <x v="2"/>
    <s v="Happy"/>
    <x v="1"/>
    <n v="38"/>
    <x v="1"/>
  </r>
  <r>
    <x v="772"/>
    <x v="11"/>
    <n v="119"/>
    <x v="0"/>
    <x v="247"/>
    <n v="96"/>
    <n v="3.1"/>
    <n v="2024"/>
    <x v="6"/>
    <s v="1 to 2 hours"/>
    <x v="1"/>
    <b v="0"/>
    <x v="1"/>
    <n v="43"/>
    <x v="2"/>
  </r>
  <r>
    <x v="773"/>
    <x v="14"/>
    <n v="61"/>
    <x v="2"/>
    <x v="247"/>
    <n v="117"/>
    <n v="4.0999999999999996"/>
    <n v="2024"/>
    <x v="6"/>
    <s v="1 to 2 hours"/>
    <x v="2"/>
    <s v="Happy"/>
    <x v="1"/>
    <n v="42"/>
    <x v="2"/>
  </r>
  <r>
    <x v="774"/>
    <x v="4"/>
    <n v="29"/>
    <x v="3"/>
    <x v="247"/>
    <n v="80"/>
    <n v="4.8"/>
    <n v="2024"/>
    <x v="6"/>
    <s v="10 to 30 mins"/>
    <x v="0"/>
    <s v="Happy"/>
    <x v="1"/>
    <n v="30"/>
    <x v="0"/>
  </r>
  <r>
    <x v="775"/>
    <x v="8"/>
    <n v="134"/>
    <x v="4"/>
    <x v="247"/>
    <n v="117"/>
    <n v="4"/>
    <n v="2024"/>
    <x v="6"/>
    <s v="More than 2 hours"/>
    <x v="2"/>
    <s v="Happy"/>
    <x v="0"/>
    <n v="31"/>
    <x v="2"/>
  </r>
  <r>
    <x v="776"/>
    <x v="10"/>
    <n v="113"/>
    <x v="0"/>
    <x v="248"/>
    <n v="40"/>
    <n v="3"/>
    <n v="2024"/>
    <x v="0"/>
    <s v="1 to 2 hours"/>
    <x v="1"/>
    <b v="0"/>
    <x v="0"/>
    <n v="23"/>
    <x v="1"/>
  </r>
  <r>
    <x v="777"/>
    <x v="13"/>
    <n v="12"/>
    <x v="4"/>
    <x v="248"/>
    <n v="117"/>
    <n v="4.8"/>
    <n v="2024"/>
    <x v="0"/>
    <s v="10 to 30 mins"/>
    <x v="0"/>
    <s v="Happy"/>
    <x v="0"/>
    <n v="41"/>
    <x v="1"/>
  </r>
  <r>
    <x v="778"/>
    <x v="7"/>
    <n v="78"/>
    <x v="3"/>
    <x v="248"/>
    <n v="135"/>
    <n v="4.0999999999999996"/>
    <n v="2024"/>
    <x v="0"/>
    <s v="1 to 2 hours"/>
    <x v="2"/>
    <s v="Happy"/>
    <x v="1"/>
    <n v="37"/>
    <x v="2"/>
  </r>
  <r>
    <x v="779"/>
    <x v="11"/>
    <n v="82"/>
    <x v="1"/>
    <x v="248"/>
    <n v="99"/>
    <n v="4.2"/>
    <n v="2024"/>
    <x v="0"/>
    <s v="1 to 2 hours"/>
    <x v="2"/>
    <s v="Happy"/>
    <x v="1"/>
    <n v="43"/>
    <x v="2"/>
  </r>
  <r>
    <x v="780"/>
    <x v="6"/>
    <n v="149"/>
    <x v="2"/>
    <x v="248"/>
    <n v="130"/>
    <n v="3.3"/>
    <n v="2024"/>
    <x v="0"/>
    <s v="More than 2 hours"/>
    <x v="1"/>
    <b v="0"/>
    <x v="1"/>
    <n v="30"/>
    <x v="2"/>
  </r>
  <r>
    <x v="781"/>
    <x v="5"/>
    <n v="56"/>
    <x v="4"/>
    <x v="248"/>
    <n v="96"/>
    <n v="4.7"/>
    <n v="2024"/>
    <x v="0"/>
    <s v="30 to 60 mins"/>
    <x v="0"/>
    <s v="Happy"/>
    <x v="1"/>
    <n v="22"/>
    <x v="2"/>
  </r>
  <r>
    <x v="782"/>
    <x v="4"/>
    <n v="80"/>
    <x v="2"/>
    <x v="248"/>
    <n v="128"/>
    <n v="3.7"/>
    <n v="2024"/>
    <x v="0"/>
    <s v="1 to 2 hours"/>
    <x v="2"/>
    <s v="Happy"/>
    <x v="1"/>
    <n v="30"/>
    <x v="0"/>
  </r>
  <r>
    <x v="783"/>
    <x v="14"/>
    <n v="131"/>
    <x v="0"/>
    <x v="248"/>
    <n v="69"/>
    <n v="4.7"/>
    <n v="2024"/>
    <x v="0"/>
    <s v="More than 2 hours"/>
    <x v="0"/>
    <s v="Happy"/>
    <x v="1"/>
    <n v="42"/>
    <x v="2"/>
  </r>
  <r>
    <x v="784"/>
    <x v="14"/>
    <n v="109"/>
    <x v="0"/>
    <x v="248"/>
    <n v="44"/>
    <n v="4.5999999999999996"/>
    <n v="2024"/>
    <x v="0"/>
    <s v="1 to 2 hours"/>
    <x v="0"/>
    <s v="Happy"/>
    <x v="1"/>
    <n v="42"/>
    <x v="2"/>
  </r>
  <r>
    <x v="785"/>
    <x v="5"/>
    <n v="142"/>
    <x v="0"/>
    <x v="248"/>
    <n v="44"/>
    <n v="4.8"/>
    <n v="2024"/>
    <x v="0"/>
    <s v="More than 2 hours"/>
    <x v="0"/>
    <s v="Happy"/>
    <x v="1"/>
    <n v="22"/>
    <x v="2"/>
  </r>
  <r>
    <x v="786"/>
    <x v="9"/>
    <n v="114"/>
    <x v="4"/>
    <x v="249"/>
    <n v="135"/>
    <n v="2"/>
    <n v="2024"/>
    <x v="1"/>
    <s v="1 to 2 hours"/>
    <x v="3"/>
    <b v="0"/>
    <x v="1"/>
    <n v="25"/>
    <x v="1"/>
  </r>
  <r>
    <x v="787"/>
    <x v="3"/>
    <n v="93"/>
    <x v="2"/>
    <x v="249"/>
    <n v="45"/>
    <n v="3.9"/>
    <n v="2024"/>
    <x v="1"/>
    <s v="1 to 2 hours"/>
    <x v="2"/>
    <s v="Happy"/>
    <x v="1"/>
    <n v="38"/>
    <x v="1"/>
  </r>
  <r>
    <x v="788"/>
    <x v="13"/>
    <n v="43"/>
    <x v="2"/>
    <x v="249"/>
    <n v="87"/>
    <n v="3"/>
    <n v="2024"/>
    <x v="1"/>
    <s v="30 to 60 mins"/>
    <x v="1"/>
    <b v="0"/>
    <x v="0"/>
    <n v="41"/>
    <x v="1"/>
  </r>
  <r>
    <x v="789"/>
    <x v="8"/>
    <n v="78"/>
    <x v="3"/>
    <x v="250"/>
    <n v="84"/>
    <n v="4.5999999999999996"/>
    <n v="2024"/>
    <x v="2"/>
    <s v="1 to 2 hours"/>
    <x v="0"/>
    <s v="Happy"/>
    <x v="0"/>
    <n v="31"/>
    <x v="2"/>
  </r>
  <r>
    <x v="790"/>
    <x v="9"/>
    <n v="89"/>
    <x v="0"/>
    <x v="250"/>
    <n v="81"/>
    <n v="3.8"/>
    <n v="2024"/>
    <x v="2"/>
    <s v="1 to 2 hours"/>
    <x v="2"/>
    <s v="Happy"/>
    <x v="1"/>
    <n v="25"/>
    <x v="1"/>
  </r>
  <r>
    <x v="791"/>
    <x v="5"/>
    <n v="82"/>
    <x v="1"/>
    <x v="250"/>
    <n v="130"/>
    <n v="4.4000000000000004"/>
    <n v="2024"/>
    <x v="2"/>
    <s v="1 to 2 hours"/>
    <x v="2"/>
    <s v="Happy"/>
    <x v="1"/>
    <n v="22"/>
    <x v="2"/>
  </r>
  <r>
    <x v="792"/>
    <x v="4"/>
    <n v="86"/>
    <x v="0"/>
    <x v="251"/>
    <n v="92"/>
    <n v="2.4"/>
    <n v="2024"/>
    <x v="3"/>
    <s v="1 to 2 hours"/>
    <x v="3"/>
    <b v="0"/>
    <x v="1"/>
    <n v="30"/>
    <x v="0"/>
  </r>
  <r>
    <x v="793"/>
    <x v="12"/>
    <n v="57"/>
    <x v="3"/>
    <x v="251"/>
    <n v="48"/>
    <n v="4.5"/>
    <n v="2024"/>
    <x v="3"/>
    <s v="30 to 60 mins"/>
    <x v="0"/>
    <s v="Happy"/>
    <x v="1"/>
    <n v="28"/>
    <x v="0"/>
  </r>
  <r>
    <x v="794"/>
    <x v="3"/>
    <n v="103"/>
    <x v="4"/>
    <x v="251"/>
    <n v="160"/>
    <n v="4.5"/>
    <n v="2024"/>
    <x v="3"/>
    <s v="1 to 2 hours"/>
    <x v="0"/>
    <s v="Happy"/>
    <x v="1"/>
    <n v="38"/>
    <x v="1"/>
  </r>
  <r>
    <x v="795"/>
    <x v="7"/>
    <n v="138"/>
    <x v="3"/>
    <x v="252"/>
    <n v="155"/>
    <n v="2.7"/>
    <n v="2024"/>
    <x v="4"/>
    <s v="More than 2 hours"/>
    <x v="1"/>
    <b v="0"/>
    <x v="1"/>
    <n v="37"/>
    <x v="2"/>
  </r>
  <r>
    <x v="796"/>
    <x v="6"/>
    <n v="88"/>
    <x v="1"/>
    <x v="252"/>
    <n v="100"/>
    <n v="4.9000000000000004"/>
    <n v="2024"/>
    <x v="4"/>
    <s v="1 to 2 hours"/>
    <x v="0"/>
    <s v="Happy"/>
    <x v="1"/>
    <n v="30"/>
    <x v="2"/>
  </r>
  <r>
    <x v="797"/>
    <x v="9"/>
    <n v="118"/>
    <x v="2"/>
    <x v="252"/>
    <n v="56"/>
    <n v="3.7"/>
    <n v="2024"/>
    <x v="4"/>
    <s v="1 to 2 hours"/>
    <x v="2"/>
    <s v="Happy"/>
    <x v="1"/>
    <n v="25"/>
    <x v="1"/>
  </r>
  <r>
    <x v="798"/>
    <x v="4"/>
    <n v="4"/>
    <x v="0"/>
    <x v="252"/>
    <n v="170"/>
    <n v="3.9"/>
    <n v="2024"/>
    <x v="4"/>
    <s v="Under 10 mins"/>
    <x v="2"/>
    <s v="Happy"/>
    <x v="1"/>
    <n v="30"/>
    <x v="0"/>
  </r>
  <r>
    <x v="799"/>
    <x v="13"/>
    <n v="78"/>
    <x v="4"/>
    <x v="253"/>
    <n v="74"/>
    <n v="3.5"/>
    <n v="2024"/>
    <x v="5"/>
    <s v="1 to 2 hours"/>
    <x v="2"/>
    <s v="Happy"/>
    <x v="0"/>
    <n v="41"/>
    <x v="1"/>
  </r>
  <r>
    <x v="800"/>
    <x v="10"/>
    <n v="69"/>
    <x v="0"/>
    <x v="253"/>
    <n v="99"/>
    <n v="2.7"/>
    <n v="2024"/>
    <x v="5"/>
    <s v="1 to 2 hours"/>
    <x v="1"/>
    <b v="0"/>
    <x v="0"/>
    <n v="23"/>
    <x v="1"/>
  </r>
  <r>
    <x v="801"/>
    <x v="5"/>
    <n v="90"/>
    <x v="3"/>
    <x v="253"/>
    <n v="84"/>
    <n v="3.9"/>
    <n v="2024"/>
    <x v="5"/>
    <s v="1 to 2 hours"/>
    <x v="2"/>
    <s v="Happy"/>
    <x v="1"/>
    <n v="22"/>
    <x v="2"/>
  </r>
  <r>
    <x v="802"/>
    <x v="10"/>
    <n v="134"/>
    <x v="0"/>
    <x v="253"/>
    <n v="35"/>
    <n v="3.4"/>
    <n v="2024"/>
    <x v="5"/>
    <s v="More than 2 hours"/>
    <x v="1"/>
    <b v="0"/>
    <x v="0"/>
    <n v="23"/>
    <x v="1"/>
  </r>
  <r>
    <x v="803"/>
    <x v="1"/>
    <n v="65"/>
    <x v="2"/>
    <x v="253"/>
    <n v="150"/>
    <n v="5"/>
    <n v="2024"/>
    <x v="5"/>
    <s v="1 to 2 hours"/>
    <x v="0"/>
    <s v="Happy"/>
    <x v="0"/>
    <n v="36"/>
    <x v="0"/>
  </r>
  <r>
    <x v="804"/>
    <x v="2"/>
    <n v="54"/>
    <x v="4"/>
    <x v="254"/>
    <n v="176"/>
    <n v="4.4000000000000004"/>
    <n v="2024"/>
    <x v="6"/>
    <s v="30 to 60 mins"/>
    <x v="2"/>
    <s v="Happy"/>
    <x v="0"/>
    <n v="37"/>
    <x v="1"/>
  </r>
  <r>
    <x v="805"/>
    <x v="2"/>
    <n v="90"/>
    <x v="4"/>
    <x v="254"/>
    <n v="84"/>
    <n v="4.3"/>
    <n v="2024"/>
    <x v="6"/>
    <s v="1 to 2 hours"/>
    <x v="2"/>
    <s v="Happy"/>
    <x v="0"/>
    <n v="37"/>
    <x v="1"/>
  </r>
  <r>
    <x v="806"/>
    <x v="5"/>
    <n v="66"/>
    <x v="4"/>
    <x v="254"/>
    <n v="136"/>
    <n v="4.7"/>
    <n v="2024"/>
    <x v="6"/>
    <s v="1 to 2 hours"/>
    <x v="0"/>
    <s v="Happy"/>
    <x v="1"/>
    <n v="22"/>
    <x v="2"/>
  </r>
  <r>
    <x v="807"/>
    <x v="4"/>
    <n v="150"/>
    <x v="4"/>
    <x v="255"/>
    <n v="70"/>
    <n v="4.0999999999999996"/>
    <n v="2024"/>
    <x v="0"/>
    <s v="More than 2 hours"/>
    <x v="2"/>
    <s v="Happy"/>
    <x v="1"/>
    <n v="30"/>
    <x v="0"/>
  </r>
  <r>
    <x v="808"/>
    <x v="8"/>
    <n v="18"/>
    <x v="2"/>
    <x v="255"/>
    <n v="96"/>
    <n v="4.8"/>
    <n v="2024"/>
    <x v="0"/>
    <s v="10 to 30 mins"/>
    <x v="0"/>
    <s v="Happy"/>
    <x v="0"/>
    <n v="31"/>
    <x v="2"/>
  </r>
  <r>
    <x v="809"/>
    <x v="2"/>
    <n v="87"/>
    <x v="2"/>
    <x v="255"/>
    <n v="23"/>
    <n v="4.2"/>
    <n v="2024"/>
    <x v="0"/>
    <s v="1 to 2 hours"/>
    <x v="2"/>
    <s v="Happy"/>
    <x v="0"/>
    <n v="37"/>
    <x v="1"/>
  </r>
  <r>
    <x v="810"/>
    <x v="7"/>
    <n v="94"/>
    <x v="4"/>
    <x v="256"/>
    <n v="120"/>
    <n v="3.4"/>
    <n v="2024"/>
    <x v="1"/>
    <s v="1 to 2 hours"/>
    <x v="1"/>
    <b v="0"/>
    <x v="1"/>
    <n v="37"/>
    <x v="2"/>
  </r>
  <r>
    <x v="811"/>
    <x v="12"/>
    <n v="56"/>
    <x v="4"/>
    <x v="256"/>
    <n v="205"/>
    <n v="3.3"/>
    <n v="2024"/>
    <x v="1"/>
    <s v="30 to 60 mins"/>
    <x v="1"/>
    <b v="0"/>
    <x v="1"/>
    <n v="28"/>
    <x v="0"/>
  </r>
  <r>
    <x v="812"/>
    <x v="9"/>
    <n v="41"/>
    <x v="1"/>
    <x v="257"/>
    <n v="42"/>
    <n v="3.8"/>
    <n v="2024"/>
    <x v="2"/>
    <s v="30 to 60 mins"/>
    <x v="2"/>
    <s v="Happy"/>
    <x v="1"/>
    <n v="25"/>
    <x v="1"/>
  </r>
  <r>
    <x v="813"/>
    <x v="4"/>
    <n v="119"/>
    <x v="3"/>
    <x v="257"/>
    <n v="111"/>
    <n v="3.9"/>
    <n v="2024"/>
    <x v="2"/>
    <s v="1 to 2 hours"/>
    <x v="2"/>
    <s v="Happy"/>
    <x v="1"/>
    <n v="30"/>
    <x v="0"/>
  </r>
  <r>
    <x v="814"/>
    <x v="3"/>
    <n v="108"/>
    <x v="4"/>
    <x v="257"/>
    <n v="68"/>
    <n v="2.5"/>
    <n v="2024"/>
    <x v="2"/>
    <s v="1 to 2 hours"/>
    <x v="1"/>
    <b v="0"/>
    <x v="1"/>
    <n v="38"/>
    <x v="1"/>
  </r>
  <r>
    <x v="815"/>
    <x v="13"/>
    <n v="63"/>
    <x v="0"/>
    <x v="257"/>
    <n v="172"/>
    <n v="4.9000000000000004"/>
    <n v="2024"/>
    <x v="2"/>
    <s v="1 to 2 hours"/>
    <x v="0"/>
    <s v="Happy"/>
    <x v="0"/>
    <n v="41"/>
    <x v="1"/>
  </r>
  <r>
    <x v="816"/>
    <x v="11"/>
    <n v="59"/>
    <x v="4"/>
    <x v="257"/>
    <n v="152"/>
    <n v="4.8"/>
    <n v="2024"/>
    <x v="2"/>
    <s v="30 to 60 mins"/>
    <x v="0"/>
    <s v="Happy"/>
    <x v="1"/>
    <n v="43"/>
    <x v="2"/>
  </r>
  <r>
    <x v="817"/>
    <x v="11"/>
    <n v="90"/>
    <x v="1"/>
    <x v="257"/>
    <n v="48"/>
    <n v="4.7"/>
    <n v="2024"/>
    <x v="2"/>
    <s v="1 to 2 hours"/>
    <x v="0"/>
    <s v="Happy"/>
    <x v="1"/>
    <n v="43"/>
    <x v="2"/>
  </r>
  <r>
    <x v="818"/>
    <x v="6"/>
    <n v="55"/>
    <x v="1"/>
    <x v="257"/>
    <n v="25"/>
    <n v="4.7"/>
    <n v="2024"/>
    <x v="2"/>
    <s v="30 to 60 mins"/>
    <x v="0"/>
    <s v="Happy"/>
    <x v="1"/>
    <n v="30"/>
    <x v="2"/>
  </r>
  <r>
    <x v="819"/>
    <x v="3"/>
    <n v="84"/>
    <x v="3"/>
    <x v="258"/>
    <n v="54"/>
    <n v="3.3"/>
    <n v="2024"/>
    <x v="3"/>
    <s v="1 to 2 hours"/>
    <x v="1"/>
    <b v="0"/>
    <x v="1"/>
    <n v="38"/>
    <x v="1"/>
  </r>
  <r>
    <x v="820"/>
    <x v="3"/>
    <n v="150"/>
    <x v="2"/>
    <x v="258"/>
    <n v="108"/>
    <n v="4.7"/>
    <n v="2024"/>
    <x v="3"/>
    <s v="More than 2 hours"/>
    <x v="0"/>
    <s v="Happy"/>
    <x v="1"/>
    <n v="38"/>
    <x v="1"/>
  </r>
  <r>
    <x v="821"/>
    <x v="14"/>
    <n v="69"/>
    <x v="4"/>
    <x v="258"/>
    <n v="36"/>
    <n v="4.5"/>
    <n v="2024"/>
    <x v="3"/>
    <s v="1 to 2 hours"/>
    <x v="0"/>
    <s v="Happy"/>
    <x v="1"/>
    <n v="42"/>
    <x v="2"/>
  </r>
  <r>
    <x v="822"/>
    <x v="0"/>
    <n v="120"/>
    <x v="1"/>
    <x v="259"/>
    <n v="140"/>
    <n v="4.5999999999999996"/>
    <n v="2024"/>
    <x v="4"/>
    <s v="1 to 2 hours"/>
    <x v="0"/>
    <s v="Happy"/>
    <x v="0"/>
    <n v="26"/>
    <x v="0"/>
  </r>
  <r>
    <x v="823"/>
    <x v="2"/>
    <n v="126"/>
    <x v="3"/>
    <x v="259"/>
    <n v="50"/>
    <n v="4.8"/>
    <n v="2024"/>
    <x v="4"/>
    <s v="More than 2 hours"/>
    <x v="0"/>
    <s v="Happy"/>
    <x v="0"/>
    <n v="37"/>
    <x v="1"/>
  </r>
  <r>
    <x v="824"/>
    <x v="14"/>
    <n v="120"/>
    <x v="0"/>
    <x v="259"/>
    <n v="195"/>
    <n v="4.3"/>
    <n v="2024"/>
    <x v="4"/>
    <s v="1 to 2 hours"/>
    <x v="2"/>
    <s v="Happy"/>
    <x v="1"/>
    <n v="42"/>
    <x v="2"/>
  </r>
  <r>
    <x v="825"/>
    <x v="2"/>
    <n v="139"/>
    <x v="1"/>
    <x v="260"/>
    <n v="48"/>
    <n v="4.7"/>
    <n v="2024"/>
    <x v="5"/>
    <s v="More than 2 hours"/>
    <x v="0"/>
    <s v="Happy"/>
    <x v="0"/>
    <n v="37"/>
    <x v="1"/>
  </r>
  <r>
    <x v="826"/>
    <x v="6"/>
    <n v="124"/>
    <x v="4"/>
    <x v="261"/>
    <n v="29"/>
    <n v="4.8"/>
    <n v="2024"/>
    <x v="6"/>
    <s v="More than 2 hours"/>
    <x v="0"/>
    <s v="Happy"/>
    <x v="1"/>
    <n v="30"/>
    <x v="2"/>
  </r>
  <r>
    <x v="827"/>
    <x v="0"/>
    <n v="108"/>
    <x v="0"/>
    <x v="261"/>
    <n v="44"/>
    <n v="4.7"/>
    <n v="2024"/>
    <x v="6"/>
    <s v="1 to 2 hours"/>
    <x v="0"/>
    <s v="Happy"/>
    <x v="0"/>
    <n v="26"/>
    <x v="0"/>
  </r>
  <r>
    <x v="828"/>
    <x v="1"/>
    <n v="132"/>
    <x v="2"/>
    <x v="261"/>
    <n v="140"/>
    <n v="4.3"/>
    <n v="2024"/>
    <x v="6"/>
    <s v="More than 2 hours"/>
    <x v="2"/>
    <s v="Happy"/>
    <x v="0"/>
    <n v="36"/>
    <x v="0"/>
  </r>
  <r>
    <x v="829"/>
    <x v="13"/>
    <n v="67"/>
    <x v="2"/>
    <x v="261"/>
    <n v="105"/>
    <n v="3.8"/>
    <n v="2024"/>
    <x v="6"/>
    <s v="1 to 2 hours"/>
    <x v="2"/>
    <s v="Happy"/>
    <x v="0"/>
    <n v="41"/>
    <x v="1"/>
  </r>
  <r>
    <x v="830"/>
    <x v="5"/>
    <n v="125"/>
    <x v="2"/>
    <x v="261"/>
    <n v="82"/>
    <n v="4.5999999999999996"/>
    <n v="2024"/>
    <x v="6"/>
    <s v="More than 2 hours"/>
    <x v="0"/>
    <s v="Happy"/>
    <x v="1"/>
    <n v="22"/>
    <x v="2"/>
  </r>
  <r>
    <x v="831"/>
    <x v="0"/>
    <n v="23"/>
    <x v="0"/>
    <x v="261"/>
    <n v="24"/>
    <n v="2.9"/>
    <n v="2024"/>
    <x v="6"/>
    <s v="10 to 30 mins"/>
    <x v="1"/>
    <b v="0"/>
    <x v="0"/>
    <n v="26"/>
    <x v="0"/>
  </r>
  <r>
    <x v="832"/>
    <x v="4"/>
    <n v="131"/>
    <x v="4"/>
    <x v="262"/>
    <n v="205"/>
    <n v="4.8"/>
    <n v="2024"/>
    <x v="0"/>
    <s v="More than 2 hours"/>
    <x v="0"/>
    <s v="Happy"/>
    <x v="1"/>
    <n v="30"/>
    <x v="0"/>
  </r>
  <r>
    <x v="833"/>
    <x v="1"/>
    <n v="56"/>
    <x v="1"/>
    <x v="262"/>
    <n v="225"/>
    <n v="4.9000000000000004"/>
    <n v="2024"/>
    <x v="0"/>
    <s v="30 to 60 mins"/>
    <x v="0"/>
    <s v="Happy"/>
    <x v="0"/>
    <n v="36"/>
    <x v="0"/>
  </r>
  <r>
    <x v="834"/>
    <x v="4"/>
    <n v="70"/>
    <x v="4"/>
    <x v="262"/>
    <n v="50"/>
    <n v="3.4"/>
    <n v="2024"/>
    <x v="0"/>
    <s v="1 to 2 hours"/>
    <x v="1"/>
    <b v="0"/>
    <x v="1"/>
    <n v="30"/>
    <x v="0"/>
  </r>
  <r>
    <x v="835"/>
    <x v="4"/>
    <n v="55"/>
    <x v="2"/>
    <x v="262"/>
    <n v="80"/>
    <n v="4.3"/>
    <n v="2024"/>
    <x v="0"/>
    <s v="30 to 60 mins"/>
    <x v="2"/>
    <s v="Happy"/>
    <x v="1"/>
    <n v="30"/>
    <x v="0"/>
  </r>
  <r>
    <x v="836"/>
    <x v="5"/>
    <n v="77"/>
    <x v="1"/>
    <x v="262"/>
    <n v="78"/>
    <n v="3.9"/>
    <n v="2024"/>
    <x v="0"/>
    <s v="1 to 2 hours"/>
    <x v="2"/>
    <s v="Happy"/>
    <x v="1"/>
    <n v="22"/>
    <x v="2"/>
  </r>
  <r>
    <x v="837"/>
    <x v="3"/>
    <n v="133"/>
    <x v="4"/>
    <x v="263"/>
    <n v="40"/>
    <n v="3.9"/>
    <n v="2024"/>
    <x v="1"/>
    <s v="More than 2 hours"/>
    <x v="2"/>
    <s v="Happy"/>
    <x v="1"/>
    <n v="38"/>
    <x v="1"/>
  </r>
  <r>
    <x v="838"/>
    <x v="5"/>
    <n v="77"/>
    <x v="1"/>
    <x v="263"/>
    <n v="176"/>
    <n v="1.5"/>
    <n v="2024"/>
    <x v="1"/>
    <s v="1 to 2 hours"/>
    <x v="3"/>
    <b v="0"/>
    <x v="1"/>
    <n v="22"/>
    <x v="2"/>
  </r>
  <r>
    <x v="839"/>
    <x v="11"/>
    <n v="103"/>
    <x v="4"/>
    <x v="263"/>
    <n v="78"/>
    <n v="3"/>
    <n v="2024"/>
    <x v="1"/>
    <s v="1 to 2 hours"/>
    <x v="1"/>
    <b v="0"/>
    <x v="1"/>
    <n v="43"/>
    <x v="2"/>
  </r>
  <r>
    <x v="840"/>
    <x v="14"/>
    <n v="32"/>
    <x v="1"/>
    <x v="263"/>
    <n v="42"/>
    <n v="4.2"/>
    <n v="2024"/>
    <x v="1"/>
    <s v="30 to 60 mins"/>
    <x v="2"/>
    <s v="Happy"/>
    <x v="1"/>
    <n v="42"/>
    <x v="2"/>
  </r>
  <r>
    <x v="841"/>
    <x v="3"/>
    <n v="30"/>
    <x v="4"/>
    <x v="263"/>
    <n v="38"/>
    <n v="3.7"/>
    <n v="2024"/>
    <x v="1"/>
    <s v="10 to 30 mins"/>
    <x v="2"/>
    <s v="Happy"/>
    <x v="1"/>
    <n v="38"/>
    <x v="1"/>
  </r>
  <r>
    <x v="842"/>
    <x v="2"/>
    <n v="87"/>
    <x v="3"/>
    <x v="263"/>
    <n v="27"/>
    <n v="4.2"/>
    <n v="2024"/>
    <x v="1"/>
    <s v="1 to 2 hours"/>
    <x v="2"/>
    <s v="Happy"/>
    <x v="0"/>
    <n v="37"/>
    <x v="1"/>
  </r>
  <r>
    <x v="843"/>
    <x v="5"/>
    <n v="137"/>
    <x v="0"/>
    <x v="264"/>
    <n v="45"/>
    <n v="4.4000000000000004"/>
    <n v="2024"/>
    <x v="2"/>
    <s v="More than 2 hours"/>
    <x v="2"/>
    <s v="Happy"/>
    <x v="1"/>
    <n v="22"/>
    <x v="2"/>
  </r>
  <r>
    <x v="844"/>
    <x v="7"/>
    <n v="96"/>
    <x v="4"/>
    <x v="264"/>
    <n v="215"/>
    <n v="4"/>
    <n v="2024"/>
    <x v="2"/>
    <s v="1 to 2 hours"/>
    <x v="2"/>
    <s v="Happy"/>
    <x v="1"/>
    <n v="37"/>
    <x v="2"/>
  </r>
  <r>
    <x v="845"/>
    <x v="6"/>
    <n v="155"/>
    <x v="4"/>
    <x v="265"/>
    <n v="72"/>
    <n v="4.7"/>
    <n v="2024"/>
    <x v="3"/>
    <s v="More than 2 hours"/>
    <x v="0"/>
    <s v="Happy"/>
    <x v="1"/>
    <n v="30"/>
    <x v="2"/>
  </r>
  <r>
    <x v="846"/>
    <x v="3"/>
    <n v="173"/>
    <x v="2"/>
    <x v="265"/>
    <n v="160"/>
    <n v="2.8"/>
    <n v="2024"/>
    <x v="3"/>
    <s v="More than 2 hours"/>
    <x v="1"/>
    <b v="0"/>
    <x v="1"/>
    <n v="38"/>
    <x v="1"/>
  </r>
  <r>
    <x v="847"/>
    <x v="6"/>
    <n v="127"/>
    <x v="4"/>
    <x v="265"/>
    <n v="165"/>
    <n v="2.5"/>
    <n v="2024"/>
    <x v="3"/>
    <s v="More than 2 hours"/>
    <x v="1"/>
    <b v="0"/>
    <x v="1"/>
    <n v="30"/>
    <x v="2"/>
  </r>
  <r>
    <x v="848"/>
    <x v="1"/>
    <n v="117"/>
    <x v="2"/>
    <x v="265"/>
    <n v="120"/>
    <n v="3.4"/>
    <n v="2024"/>
    <x v="3"/>
    <s v="1 to 2 hours"/>
    <x v="1"/>
    <b v="0"/>
    <x v="0"/>
    <n v="36"/>
    <x v="0"/>
  </r>
  <r>
    <x v="849"/>
    <x v="0"/>
    <n v="133"/>
    <x v="1"/>
    <x v="265"/>
    <n v="117"/>
    <n v="4.8"/>
    <n v="2024"/>
    <x v="3"/>
    <s v="More than 2 hours"/>
    <x v="0"/>
    <s v="Happy"/>
    <x v="0"/>
    <n v="26"/>
    <x v="0"/>
  </r>
  <r>
    <x v="850"/>
    <x v="8"/>
    <n v="166"/>
    <x v="3"/>
    <x v="266"/>
    <n v="29"/>
    <n v="4.3"/>
    <n v="2024"/>
    <x v="4"/>
    <s v="More than 2 hours"/>
    <x v="2"/>
    <s v="Happy"/>
    <x v="0"/>
    <n v="31"/>
    <x v="2"/>
  </r>
  <r>
    <x v="851"/>
    <x v="0"/>
    <n v="50"/>
    <x v="2"/>
    <x v="266"/>
    <n v="64"/>
    <n v="4.5"/>
    <n v="2024"/>
    <x v="4"/>
    <s v="30 to 60 mins"/>
    <x v="0"/>
    <s v="Happy"/>
    <x v="0"/>
    <n v="26"/>
    <x v="0"/>
  </r>
  <r>
    <x v="852"/>
    <x v="11"/>
    <n v="43"/>
    <x v="1"/>
    <x v="266"/>
    <n v="84"/>
    <n v="3.6"/>
    <n v="2024"/>
    <x v="4"/>
    <s v="30 to 60 mins"/>
    <x v="2"/>
    <s v="Happy"/>
    <x v="1"/>
    <n v="43"/>
    <x v="2"/>
  </r>
  <r>
    <x v="853"/>
    <x v="7"/>
    <n v="124"/>
    <x v="4"/>
    <x v="266"/>
    <n v="42"/>
    <n v="3.7"/>
    <n v="2024"/>
    <x v="4"/>
    <s v="More than 2 hours"/>
    <x v="2"/>
    <s v="Happy"/>
    <x v="1"/>
    <n v="37"/>
    <x v="2"/>
  </r>
  <r>
    <x v="854"/>
    <x v="3"/>
    <n v="94"/>
    <x v="4"/>
    <x v="266"/>
    <n v="120"/>
    <n v="3.5"/>
    <n v="2024"/>
    <x v="4"/>
    <s v="1 to 2 hours"/>
    <x v="2"/>
    <s v="Happy"/>
    <x v="1"/>
    <n v="38"/>
    <x v="1"/>
  </r>
  <r>
    <x v="855"/>
    <x v="11"/>
    <n v="126"/>
    <x v="3"/>
    <x v="267"/>
    <n v="80"/>
    <n v="4.7"/>
    <n v="2024"/>
    <x v="5"/>
    <s v="More than 2 hours"/>
    <x v="0"/>
    <s v="Happy"/>
    <x v="1"/>
    <n v="43"/>
    <x v="2"/>
  </r>
  <r>
    <x v="856"/>
    <x v="8"/>
    <n v="105"/>
    <x v="2"/>
    <x v="267"/>
    <n v="185"/>
    <n v="3.5"/>
    <n v="2024"/>
    <x v="5"/>
    <s v="1 to 2 hours"/>
    <x v="2"/>
    <s v="Happy"/>
    <x v="0"/>
    <n v="31"/>
    <x v="2"/>
  </r>
  <r>
    <x v="857"/>
    <x v="4"/>
    <n v="60"/>
    <x v="0"/>
    <x v="268"/>
    <n v="135"/>
    <n v="3.9"/>
    <n v="2024"/>
    <x v="6"/>
    <s v="30 to 60 mins"/>
    <x v="2"/>
    <s v="Happy"/>
    <x v="1"/>
    <n v="30"/>
    <x v="0"/>
  </r>
  <r>
    <x v="858"/>
    <x v="4"/>
    <n v="72"/>
    <x v="2"/>
    <x v="268"/>
    <n v="20"/>
    <n v="4.8"/>
    <n v="2024"/>
    <x v="6"/>
    <s v="1 to 2 hours"/>
    <x v="0"/>
    <s v="Happy"/>
    <x v="1"/>
    <n v="30"/>
    <x v="0"/>
  </r>
  <r>
    <x v="859"/>
    <x v="12"/>
    <n v="40"/>
    <x v="2"/>
    <x v="268"/>
    <n v="31"/>
    <n v="4"/>
    <n v="2024"/>
    <x v="6"/>
    <s v="30 to 60 mins"/>
    <x v="2"/>
    <s v="Happy"/>
    <x v="1"/>
    <n v="28"/>
    <x v="0"/>
  </r>
  <r>
    <x v="860"/>
    <x v="14"/>
    <n v="54"/>
    <x v="3"/>
    <x v="269"/>
    <n v="120"/>
    <n v="4.7"/>
    <n v="2024"/>
    <x v="0"/>
    <s v="30 to 60 mins"/>
    <x v="0"/>
    <s v="Happy"/>
    <x v="1"/>
    <n v="42"/>
    <x v="2"/>
  </r>
  <r>
    <x v="861"/>
    <x v="1"/>
    <n v="81"/>
    <x v="1"/>
    <x v="269"/>
    <n v="117"/>
    <n v="3.6"/>
    <n v="2024"/>
    <x v="0"/>
    <s v="1 to 2 hours"/>
    <x v="2"/>
    <s v="Happy"/>
    <x v="0"/>
    <n v="36"/>
    <x v="0"/>
  </r>
  <r>
    <x v="862"/>
    <x v="14"/>
    <n v="76"/>
    <x v="4"/>
    <x v="269"/>
    <n v="80"/>
    <n v="4.5"/>
    <n v="2024"/>
    <x v="0"/>
    <s v="1 to 2 hours"/>
    <x v="0"/>
    <s v="Happy"/>
    <x v="1"/>
    <n v="42"/>
    <x v="2"/>
  </r>
  <r>
    <x v="863"/>
    <x v="14"/>
    <n v="37"/>
    <x v="0"/>
    <x v="270"/>
    <n v="117"/>
    <n v="4"/>
    <n v="2024"/>
    <x v="1"/>
    <s v="30 to 60 mins"/>
    <x v="2"/>
    <s v="Happy"/>
    <x v="1"/>
    <n v="42"/>
    <x v="2"/>
  </r>
  <r>
    <x v="864"/>
    <x v="8"/>
    <n v="96"/>
    <x v="3"/>
    <x v="270"/>
    <n v="60"/>
    <n v="4.5"/>
    <n v="2024"/>
    <x v="1"/>
    <s v="1 to 2 hours"/>
    <x v="0"/>
    <s v="Happy"/>
    <x v="0"/>
    <n v="31"/>
    <x v="2"/>
  </r>
  <r>
    <x v="865"/>
    <x v="4"/>
    <n v="19"/>
    <x v="4"/>
    <x v="271"/>
    <n v="58"/>
    <n v="3.9"/>
    <n v="2024"/>
    <x v="2"/>
    <s v="10 to 30 mins"/>
    <x v="2"/>
    <s v="Happy"/>
    <x v="1"/>
    <n v="30"/>
    <x v="0"/>
  </r>
  <r>
    <x v="866"/>
    <x v="12"/>
    <n v="72"/>
    <x v="0"/>
    <x v="271"/>
    <n v="41"/>
    <n v="4.3"/>
    <n v="2024"/>
    <x v="2"/>
    <s v="1 to 2 hours"/>
    <x v="2"/>
    <s v="Happy"/>
    <x v="1"/>
    <n v="28"/>
    <x v="0"/>
  </r>
  <r>
    <x v="867"/>
    <x v="3"/>
    <n v="73"/>
    <x v="1"/>
    <x v="271"/>
    <n v="180"/>
    <n v="3.6"/>
    <n v="2024"/>
    <x v="2"/>
    <s v="1 to 2 hours"/>
    <x v="2"/>
    <s v="Happy"/>
    <x v="1"/>
    <n v="38"/>
    <x v="1"/>
  </r>
  <r>
    <x v="868"/>
    <x v="13"/>
    <n v="87"/>
    <x v="1"/>
    <x v="271"/>
    <n v="42"/>
    <n v="3.6"/>
    <n v="2024"/>
    <x v="2"/>
    <s v="1 to 2 hours"/>
    <x v="2"/>
    <s v="Happy"/>
    <x v="0"/>
    <n v="41"/>
    <x v="1"/>
  </r>
  <r>
    <x v="869"/>
    <x v="13"/>
    <n v="68"/>
    <x v="1"/>
    <x v="272"/>
    <n v="24"/>
    <n v="4"/>
    <n v="2024"/>
    <x v="3"/>
    <s v="1 to 2 hours"/>
    <x v="2"/>
    <s v="Happy"/>
    <x v="0"/>
    <n v="41"/>
    <x v="1"/>
  </r>
  <r>
    <x v="870"/>
    <x v="12"/>
    <n v="101"/>
    <x v="1"/>
    <x v="272"/>
    <n v="125"/>
    <n v="4.2"/>
    <n v="2024"/>
    <x v="3"/>
    <s v="1 to 2 hours"/>
    <x v="2"/>
    <s v="Happy"/>
    <x v="1"/>
    <n v="28"/>
    <x v="0"/>
  </r>
  <r>
    <x v="871"/>
    <x v="12"/>
    <n v="107"/>
    <x v="0"/>
    <x v="273"/>
    <n v="78"/>
    <n v="4.3"/>
    <n v="2024"/>
    <x v="4"/>
    <s v="1 to 2 hours"/>
    <x v="2"/>
    <s v="Happy"/>
    <x v="1"/>
    <n v="28"/>
    <x v="0"/>
  </r>
  <r>
    <x v="872"/>
    <x v="9"/>
    <n v="109"/>
    <x v="2"/>
    <x v="273"/>
    <n v="180"/>
    <n v="3.8"/>
    <n v="2024"/>
    <x v="4"/>
    <s v="1 to 2 hours"/>
    <x v="2"/>
    <s v="Happy"/>
    <x v="1"/>
    <n v="25"/>
    <x v="1"/>
  </r>
  <r>
    <x v="873"/>
    <x v="7"/>
    <n v="171"/>
    <x v="0"/>
    <x v="273"/>
    <n v="84"/>
    <n v="4.4000000000000004"/>
    <n v="2024"/>
    <x v="4"/>
    <s v="More than 2 hours"/>
    <x v="2"/>
    <s v="Happy"/>
    <x v="1"/>
    <n v="37"/>
    <x v="2"/>
  </r>
  <r>
    <x v="874"/>
    <x v="4"/>
    <n v="21"/>
    <x v="0"/>
    <x v="273"/>
    <n v="26"/>
    <n v="4.7"/>
    <n v="2024"/>
    <x v="4"/>
    <s v="10 to 30 mins"/>
    <x v="0"/>
    <s v="Happy"/>
    <x v="1"/>
    <n v="30"/>
    <x v="0"/>
  </r>
  <r>
    <x v="875"/>
    <x v="1"/>
    <n v="94"/>
    <x v="0"/>
    <x v="274"/>
    <n v="140"/>
    <n v="3.6"/>
    <n v="2024"/>
    <x v="5"/>
    <s v="1 to 2 hours"/>
    <x v="2"/>
    <s v="Happy"/>
    <x v="0"/>
    <n v="36"/>
    <x v="0"/>
  </r>
  <r>
    <x v="876"/>
    <x v="3"/>
    <n v="97"/>
    <x v="2"/>
    <x v="274"/>
    <n v="31"/>
    <n v="2.2000000000000002"/>
    <n v="2024"/>
    <x v="5"/>
    <s v="1 to 2 hours"/>
    <x v="3"/>
    <b v="0"/>
    <x v="1"/>
    <n v="38"/>
    <x v="1"/>
  </r>
  <r>
    <x v="877"/>
    <x v="8"/>
    <n v="72"/>
    <x v="2"/>
    <x v="274"/>
    <n v="108"/>
    <n v="4.8"/>
    <n v="2024"/>
    <x v="5"/>
    <s v="1 to 2 hours"/>
    <x v="0"/>
    <s v="Happy"/>
    <x v="0"/>
    <n v="31"/>
    <x v="2"/>
  </r>
  <r>
    <x v="878"/>
    <x v="7"/>
    <n v="143"/>
    <x v="3"/>
    <x v="275"/>
    <n v="58"/>
    <n v="4.3"/>
    <n v="2024"/>
    <x v="6"/>
    <s v="More than 2 hours"/>
    <x v="2"/>
    <s v="Happy"/>
    <x v="1"/>
    <n v="37"/>
    <x v="2"/>
  </r>
  <r>
    <x v="879"/>
    <x v="7"/>
    <n v="64"/>
    <x v="2"/>
    <x v="275"/>
    <n v="185"/>
    <n v="2.2000000000000002"/>
    <n v="2024"/>
    <x v="6"/>
    <s v="1 to 2 hours"/>
    <x v="3"/>
    <b v="0"/>
    <x v="1"/>
    <n v="37"/>
    <x v="2"/>
  </r>
  <r>
    <x v="880"/>
    <x v="7"/>
    <n v="69"/>
    <x v="2"/>
    <x v="275"/>
    <n v="40"/>
    <n v="4.8"/>
    <n v="2024"/>
    <x v="6"/>
    <s v="1 to 2 hours"/>
    <x v="0"/>
    <s v="Happy"/>
    <x v="1"/>
    <n v="37"/>
    <x v="2"/>
  </r>
  <r>
    <x v="881"/>
    <x v="7"/>
    <n v="18"/>
    <x v="4"/>
    <x v="275"/>
    <n v="225"/>
    <n v="2.6"/>
    <n v="2024"/>
    <x v="6"/>
    <s v="10 to 30 mins"/>
    <x v="1"/>
    <b v="0"/>
    <x v="1"/>
    <n v="37"/>
    <x v="2"/>
  </r>
  <r>
    <x v="882"/>
    <x v="3"/>
    <n v="100"/>
    <x v="3"/>
    <x v="275"/>
    <n v="150"/>
    <n v="2.6"/>
    <n v="2024"/>
    <x v="6"/>
    <s v="1 to 2 hours"/>
    <x v="1"/>
    <b v="0"/>
    <x v="1"/>
    <n v="38"/>
    <x v="1"/>
  </r>
  <r>
    <x v="883"/>
    <x v="6"/>
    <n v="110"/>
    <x v="1"/>
    <x v="276"/>
    <n v="88"/>
    <n v="3.4"/>
    <n v="2024"/>
    <x v="0"/>
    <s v="1 to 2 hours"/>
    <x v="1"/>
    <b v="0"/>
    <x v="1"/>
    <n v="30"/>
    <x v="2"/>
  </r>
  <r>
    <x v="884"/>
    <x v="10"/>
    <n v="41"/>
    <x v="0"/>
    <x v="276"/>
    <n v="140"/>
    <n v="3.7"/>
    <n v="2024"/>
    <x v="0"/>
    <s v="30 to 60 mins"/>
    <x v="2"/>
    <s v="Happy"/>
    <x v="0"/>
    <n v="23"/>
    <x v="1"/>
  </r>
  <r>
    <x v="885"/>
    <x v="6"/>
    <n v="147"/>
    <x v="1"/>
    <x v="276"/>
    <n v="68"/>
    <n v="2.1"/>
    <n v="2024"/>
    <x v="0"/>
    <s v="More than 2 hours"/>
    <x v="3"/>
    <b v="0"/>
    <x v="1"/>
    <n v="30"/>
    <x v="2"/>
  </r>
  <r>
    <x v="886"/>
    <x v="1"/>
    <n v="31"/>
    <x v="4"/>
    <x v="277"/>
    <n v="105"/>
    <n v="3.6"/>
    <n v="2024"/>
    <x v="1"/>
    <s v="30 to 60 mins"/>
    <x v="2"/>
    <s v="Happy"/>
    <x v="0"/>
    <n v="36"/>
    <x v="0"/>
  </r>
  <r>
    <x v="887"/>
    <x v="13"/>
    <n v="142"/>
    <x v="0"/>
    <x v="277"/>
    <n v="40"/>
    <n v="3.8"/>
    <n v="2024"/>
    <x v="1"/>
    <s v="More than 2 hours"/>
    <x v="2"/>
    <s v="Happy"/>
    <x v="0"/>
    <n v="41"/>
    <x v="1"/>
  </r>
  <r>
    <x v="888"/>
    <x v="9"/>
    <n v="61"/>
    <x v="0"/>
    <x v="277"/>
    <n v="82"/>
    <n v="3.1"/>
    <n v="2024"/>
    <x v="1"/>
    <s v="1 to 2 hours"/>
    <x v="1"/>
    <b v="0"/>
    <x v="1"/>
    <n v="25"/>
    <x v="1"/>
  </r>
  <r>
    <x v="889"/>
    <x v="0"/>
    <n v="86"/>
    <x v="4"/>
    <x v="278"/>
    <n v="90"/>
    <n v="4.4000000000000004"/>
    <n v="2024"/>
    <x v="2"/>
    <s v="1 to 2 hours"/>
    <x v="2"/>
    <s v="Happy"/>
    <x v="0"/>
    <n v="26"/>
    <x v="0"/>
  </r>
  <r>
    <x v="890"/>
    <x v="2"/>
    <n v="165"/>
    <x v="3"/>
    <x v="279"/>
    <n v="66"/>
    <n v="4.8"/>
    <n v="2024"/>
    <x v="3"/>
    <s v="More than 2 hours"/>
    <x v="0"/>
    <s v="Happy"/>
    <x v="0"/>
    <n v="37"/>
    <x v="1"/>
  </r>
  <r>
    <x v="891"/>
    <x v="14"/>
    <n v="62"/>
    <x v="1"/>
    <x v="279"/>
    <n v="78"/>
    <n v="3.5"/>
    <n v="2024"/>
    <x v="3"/>
    <s v="1 to 2 hours"/>
    <x v="2"/>
    <s v="Happy"/>
    <x v="1"/>
    <n v="42"/>
    <x v="2"/>
  </r>
  <r>
    <x v="892"/>
    <x v="3"/>
    <n v="103"/>
    <x v="3"/>
    <x v="280"/>
    <n v="66"/>
    <n v="4.4000000000000004"/>
    <n v="2024"/>
    <x v="4"/>
    <s v="1 to 2 hours"/>
    <x v="2"/>
    <s v="Happy"/>
    <x v="1"/>
    <n v="38"/>
    <x v="1"/>
  </r>
  <r>
    <x v="893"/>
    <x v="13"/>
    <n v="56"/>
    <x v="4"/>
    <x v="281"/>
    <n v="160"/>
    <n v="3.8"/>
    <n v="2024"/>
    <x v="5"/>
    <s v="30 to 60 mins"/>
    <x v="2"/>
    <s v="Happy"/>
    <x v="0"/>
    <n v="41"/>
    <x v="1"/>
  </r>
  <r>
    <x v="894"/>
    <x v="12"/>
    <n v="114"/>
    <x v="0"/>
    <x v="282"/>
    <n v="144"/>
    <n v="3.8"/>
    <n v="2024"/>
    <x v="6"/>
    <s v="1 to 2 hours"/>
    <x v="2"/>
    <s v="Happy"/>
    <x v="1"/>
    <n v="28"/>
    <x v="0"/>
  </r>
  <r>
    <x v="895"/>
    <x v="13"/>
    <n v="112"/>
    <x v="2"/>
    <x v="282"/>
    <n v="200"/>
    <n v="4.5999999999999996"/>
    <n v="2024"/>
    <x v="6"/>
    <s v="1 to 2 hours"/>
    <x v="0"/>
    <s v="Happy"/>
    <x v="0"/>
    <n v="41"/>
    <x v="1"/>
  </r>
  <r>
    <x v="896"/>
    <x v="5"/>
    <n v="52"/>
    <x v="1"/>
    <x v="283"/>
    <n v="220"/>
    <n v="5"/>
    <n v="2024"/>
    <x v="1"/>
    <s v="30 to 60 mins"/>
    <x v="0"/>
    <s v="Happy"/>
    <x v="1"/>
    <n v="22"/>
    <x v="2"/>
  </r>
  <r>
    <x v="897"/>
    <x v="3"/>
    <n v="105"/>
    <x v="3"/>
    <x v="284"/>
    <n v="112"/>
    <n v="3.2"/>
    <n v="2024"/>
    <x v="2"/>
    <s v="1 to 2 hours"/>
    <x v="1"/>
    <b v="0"/>
    <x v="1"/>
    <n v="38"/>
    <x v="1"/>
  </r>
  <r>
    <x v="898"/>
    <x v="2"/>
    <n v="91"/>
    <x v="4"/>
    <x v="284"/>
    <n v="110"/>
    <n v="3.7"/>
    <n v="2024"/>
    <x v="2"/>
    <s v="1 to 2 hours"/>
    <x v="2"/>
    <s v="Happy"/>
    <x v="0"/>
    <n v="37"/>
    <x v="1"/>
  </r>
  <r>
    <x v="899"/>
    <x v="11"/>
    <n v="74"/>
    <x v="0"/>
    <x v="285"/>
    <n v="160"/>
    <n v="2.7"/>
    <n v="2024"/>
    <x v="3"/>
    <s v="1 to 2 hours"/>
    <x v="1"/>
    <b v="0"/>
    <x v="1"/>
    <n v="43"/>
    <x v="2"/>
  </r>
  <r>
    <x v="900"/>
    <x v="11"/>
    <n v="30"/>
    <x v="4"/>
    <x v="285"/>
    <n v="84"/>
    <n v="4"/>
    <n v="2024"/>
    <x v="3"/>
    <s v="10 to 30 mins"/>
    <x v="2"/>
    <s v="Happy"/>
    <x v="1"/>
    <n v="43"/>
    <x v="2"/>
  </r>
  <r>
    <x v="901"/>
    <x v="2"/>
    <n v="56"/>
    <x v="1"/>
    <x v="285"/>
    <n v="124"/>
    <n v="2.6"/>
    <n v="2024"/>
    <x v="3"/>
    <s v="30 to 60 mins"/>
    <x v="1"/>
    <b v="0"/>
    <x v="0"/>
    <n v="37"/>
    <x v="1"/>
  </r>
  <r>
    <x v="902"/>
    <x v="11"/>
    <n v="151"/>
    <x v="2"/>
    <x v="285"/>
    <n v="84"/>
    <n v="4.5999999999999996"/>
    <n v="2024"/>
    <x v="3"/>
    <s v="More than 2 hours"/>
    <x v="0"/>
    <s v="Happy"/>
    <x v="1"/>
    <n v="43"/>
    <x v="2"/>
  </r>
  <r>
    <x v="903"/>
    <x v="1"/>
    <n v="108"/>
    <x v="3"/>
    <x v="286"/>
    <n v="130"/>
    <n v="2.7"/>
    <n v="2024"/>
    <x v="4"/>
    <s v="1 to 2 hours"/>
    <x v="1"/>
    <b v="0"/>
    <x v="0"/>
    <n v="36"/>
    <x v="0"/>
  </r>
  <r>
    <x v="904"/>
    <x v="12"/>
    <n v="124"/>
    <x v="0"/>
    <x v="286"/>
    <n v="215"/>
    <n v="3.5"/>
    <n v="2024"/>
    <x v="4"/>
    <s v="More than 2 hours"/>
    <x v="2"/>
    <s v="Happy"/>
    <x v="1"/>
    <n v="28"/>
    <x v="0"/>
  </r>
  <r>
    <x v="905"/>
    <x v="3"/>
    <n v="110"/>
    <x v="1"/>
    <x v="287"/>
    <n v="132"/>
    <n v="3.6"/>
    <n v="2024"/>
    <x v="5"/>
    <s v="1 to 2 hours"/>
    <x v="2"/>
    <s v="Happy"/>
    <x v="1"/>
    <n v="38"/>
    <x v="1"/>
  </r>
  <r>
    <x v="906"/>
    <x v="6"/>
    <n v="89"/>
    <x v="3"/>
    <x v="287"/>
    <n v="88"/>
    <n v="4.9000000000000004"/>
    <n v="2024"/>
    <x v="5"/>
    <s v="1 to 2 hours"/>
    <x v="0"/>
    <s v="Happy"/>
    <x v="1"/>
    <n v="30"/>
    <x v="2"/>
  </r>
  <r>
    <x v="907"/>
    <x v="0"/>
    <n v="95"/>
    <x v="1"/>
    <x v="287"/>
    <n v="140"/>
    <n v="3.9"/>
    <n v="2024"/>
    <x v="5"/>
    <s v="1 to 2 hours"/>
    <x v="2"/>
    <s v="Happy"/>
    <x v="0"/>
    <n v="26"/>
    <x v="0"/>
  </r>
  <r>
    <x v="908"/>
    <x v="11"/>
    <n v="84"/>
    <x v="3"/>
    <x v="288"/>
    <n v="66"/>
    <n v="4.7"/>
    <n v="2024"/>
    <x v="6"/>
    <s v="1 to 2 hours"/>
    <x v="0"/>
    <s v="Happy"/>
    <x v="1"/>
    <n v="43"/>
    <x v="2"/>
  </r>
  <r>
    <x v="909"/>
    <x v="8"/>
    <n v="89"/>
    <x v="0"/>
    <x v="288"/>
    <n v="23"/>
    <n v="4.5"/>
    <n v="2024"/>
    <x v="6"/>
    <s v="1 to 2 hours"/>
    <x v="0"/>
    <s v="Happy"/>
    <x v="0"/>
    <n v="31"/>
    <x v="2"/>
  </r>
  <r>
    <x v="910"/>
    <x v="6"/>
    <n v="146"/>
    <x v="0"/>
    <x v="289"/>
    <n v="220"/>
    <n v="4.5"/>
    <n v="2024"/>
    <x v="0"/>
    <s v="More than 2 hours"/>
    <x v="0"/>
    <s v="Happy"/>
    <x v="1"/>
    <n v="30"/>
    <x v="2"/>
  </r>
  <r>
    <x v="911"/>
    <x v="7"/>
    <n v="62"/>
    <x v="4"/>
    <x v="290"/>
    <n v="175"/>
    <n v="4.4000000000000004"/>
    <n v="2024"/>
    <x v="1"/>
    <s v="1 to 2 hours"/>
    <x v="2"/>
    <s v="Happy"/>
    <x v="1"/>
    <n v="37"/>
    <x v="2"/>
  </r>
  <r>
    <x v="912"/>
    <x v="13"/>
    <n v="82"/>
    <x v="0"/>
    <x v="290"/>
    <n v="172"/>
    <n v="4.0999999999999996"/>
    <n v="2024"/>
    <x v="1"/>
    <s v="1 to 2 hours"/>
    <x v="2"/>
    <s v="Happy"/>
    <x v="0"/>
    <n v="41"/>
    <x v="1"/>
  </r>
  <r>
    <x v="913"/>
    <x v="9"/>
    <n v="91"/>
    <x v="2"/>
    <x v="290"/>
    <n v="108"/>
    <n v="3.8"/>
    <n v="2024"/>
    <x v="1"/>
    <s v="1 to 2 hours"/>
    <x v="2"/>
    <s v="Happy"/>
    <x v="1"/>
    <n v="25"/>
    <x v="1"/>
  </r>
  <r>
    <x v="914"/>
    <x v="8"/>
    <n v="39"/>
    <x v="0"/>
    <x v="291"/>
    <n v="43"/>
    <n v="4.2"/>
    <n v="2024"/>
    <x v="2"/>
    <s v="30 to 60 mins"/>
    <x v="2"/>
    <s v="Happy"/>
    <x v="0"/>
    <n v="31"/>
    <x v="2"/>
  </r>
  <r>
    <x v="915"/>
    <x v="6"/>
    <n v="149"/>
    <x v="1"/>
    <x v="291"/>
    <n v="44"/>
    <n v="2.2000000000000002"/>
    <n v="2024"/>
    <x v="2"/>
    <s v="More than 2 hours"/>
    <x v="3"/>
    <b v="0"/>
    <x v="1"/>
    <n v="30"/>
    <x v="2"/>
  </r>
  <r>
    <x v="916"/>
    <x v="13"/>
    <n v="138"/>
    <x v="4"/>
    <x v="291"/>
    <n v="105"/>
    <n v="3.9"/>
    <n v="2024"/>
    <x v="2"/>
    <s v="More than 2 hours"/>
    <x v="2"/>
    <s v="Happy"/>
    <x v="0"/>
    <n v="41"/>
    <x v="1"/>
  </r>
  <r>
    <x v="917"/>
    <x v="7"/>
    <n v="113"/>
    <x v="1"/>
    <x v="292"/>
    <n v="34"/>
    <n v="3.9"/>
    <n v="2024"/>
    <x v="3"/>
    <s v="1 to 2 hours"/>
    <x v="2"/>
    <s v="Happy"/>
    <x v="1"/>
    <n v="37"/>
    <x v="2"/>
  </r>
  <r>
    <x v="918"/>
    <x v="4"/>
    <n v="88"/>
    <x v="0"/>
    <x v="292"/>
    <n v="220"/>
    <n v="4.0999999999999996"/>
    <n v="2024"/>
    <x v="3"/>
    <s v="1 to 2 hours"/>
    <x v="2"/>
    <s v="Happy"/>
    <x v="1"/>
    <n v="30"/>
    <x v="0"/>
  </r>
  <r>
    <x v="919"/>
    <x v="0"/>
    <n v="64"/>
    <x v="4"/>
    <x v="292"/>
    <n v="225"/>
    <n v="4.5999999999999996"/>
    <n v="2024"/>
    <x v="3"/>
    <s v="1 to 2 hours"/>
    <x v="0"/>
    <s v="Happy"/>
    <x v="0"/>
    <n v="26"/>
    <x v="0"/>
  </r>
  <r>
    <x v="920"/>
    <x v="2"/>
    <n v="53"/>
    <x v="4"/>
    <x v="293"/>
    <n v="37"/>
    <n v="4.0999999999999996"/>
    <n v="2024"/>
    <x v="4"/>
    <s v="30 to 60 mins"/>
    <x v="2"/>
    <s v="Happy"/>
    <x v="0"/>
    <n v="37"/>
    <x v="1"/>
  </r>
  <r>
    <x v="921"/>
    <x v="12"/>
    <n v="63"/>
    <x v="1"/>
    <x v="293"/>
    <n v="44"/>
    <n v="5"/>
    <n v="2024"/>
    <x v="4"/>
    <s v="1 to 2 hours"/>
    <x v="0"/>
    <s v="Happy"/>
    <x v="1"/>
    <n v="28"/>
    <x v="0"/>
  </r>
  <r>
    <x v="922"/>
    <x v="5"/>
    <n v="54"/>
    <x v="1"/>
    <x v="294"/>
    <n v="35"/>
    <n v="2.8"/>
    <n v="2024"/>
    <x v="5"/>
    <s v="30 to 60 mins"/>
    <x v="1"/>
    <b v="0"/>
    <x v="1"/>
    <n v="22"/>
    <x v="2"/>
  </r>
  <r>
    <x v="923"/>
    <x v="12"/>
    <n v="54"/>
    <x v="0"/>
    <x v="294"/>
    <n v="145"/>
    <n v="2.7"/>
    <n v="2024"/>
    <x v="5"/>
    <s v="30 to 60 mins"/>
    <x v="1"/>
    <b v="0"/>
    <x v="1"/>
    <n v="28"/>
    <x v="0"/>
  </r>
  <r>
    <x v="924"/>
    <x v="6"/>
    <n v="71"/>
    <x v="4"/>
    <x v="294"/>
    <n v="64"/>
    <n v="3.9"/>
    <n v="2024"/>
    <x v="5"/>
    <s v="1 to 2 hours"/>
    <x v="2"/>
    <s v="Happy"/>
    <x v="1"/>
    <n v="30"/>
    <x v="2"/>
  </r>
  <r>
    <x v="925"/>
    <x v="12"/>
    <n v="93"/>
    <x v="0"/>
    <x v="295"/>
    <n v="185"/>
    <n v="4.3"/>
    <n v="2024"/>
    <x v="6"/>
    <s v="1 to 2 hours"/>
    <x v="2"/>
    <s v="Happy"/>
    <x v="1"/>
    <n v="28"/>
    <x v="0"/>
  </r>
  <r>
    <x v="926"/>
    <x v="3"/>
    <n v="96"/>
    <x v="1"/>
    <x v="295"/>
    <n v="215"/>
    <n v="2.5"/>
    <n v="2024"/>
    <x v="6"/>
    <s v="1 to 2 hours"/>
    <x v="1"/>
    <b v="0"/>
    <x v="1"/>
    <n v="38"/>
    <x v="1"/>
  </r>
  <r>
    <x v="927"/>
    <x v="8"/>
    <n v="31"/>
    <x v="2"/>
    <x v="295"/>
    <n v="88"/>
    <n v="3.4"/>
    <n v="2024"/>
    <x v="6"/>
    <s v="30 to 60 mins"/>
    <x v="1"/>
    <b v="0"/>
    <x v="0"/>
    <n v="31"/>
    <x v="2"/>
  </r>
  <r>
    <x v="928"/>
    <x v="12"/>
    <n v="107"/>
    <x v="4"/>
    <x v="295"/>
    <n v="23"/>
    <n v="3.4"/>
    <n v="2024"/>
    <x v="6"/>
    <s v="1 to 2 hours"/>
    <x v="1"/>
    <b v="0"/>
    <x v="1"/>
    <n v="28"/>
    <x v="0"/>
  </r>
  <r>
    <x v="929"/>
    <x v="2"/>
    <n v="50"/>
    <x v="2"/>
    <x v="296"/>
    <n v="180"/>
    <n v="1.8"/>
    <n v="2024"/>
    <x v="0"/>
    <s v="30 to 60 mins"/>
    <x v="3"/>
    <b v="0"/>
    <x v="0"/>
    <n v="37"/>
    <x v="1"/>
  </r>
  <r>
    <x v="930"/>
    <x v="13"/>
    <n v="69"/>
    <x v="4"/>
    <x v="297"/>
    <n v="225"/>
    <n v="3.7"/>
    <n v="2024"/>
    <x v="1"/>
    <s v="1 to 2 hours"/>
    <x v="2"/>
    <s v="Happy"/>
    <x v="0"/>
    <n v="41"/>
    <x v="1"/>
  </r>
  <r>
    <x v="931"/>
    <x v="4"/>
    <n v="26"/>
    <x v="1"/>
    <x v="298"/>
    <n v="74"/>
    <n v="4.0999999999999996"/>
    <n v="2024"/>
    <x v="2"/>
    <s v="10 to 30 mins"/>
    <x v="2"/>
    <s v="Happy"/>
    <x v="1"/>
    <n v="30"/>
    <x v="0"/>
  </r>
  <r>
    <x v="932"/>
    <x v="3"/>
    <n v="158"/>
    <x v="4"/>
    <x v="298"/>
    <n v="36"/>
    <n v="3"/>
    <n v="2024"/>
    <x v="2"/>
    <s v="More than 2 hours"/>
    <x v="1"/>
    <b v="0"/>
    <x v="1"/>
    <n v="38"/>
    <x v="1"/>
  </r>
  <r>
    <x v="933"/>
    <x v="5"/>
    <n v="99"/>
    <x v="4"/>
    <x v="299"/>
    <n v="116"/>
    <n v="3.9"/>
    <n v="2024"/>
    <x v="4"/>
    <s v="1 to 2 hours"/>
    <x v="2"/>
    <s v="Happy"/>
    <x v="1"/>
    <n v="22"/>
    <x v="2"/>
  </r>
  <r>
    <x v="934"/>
    <x v="3"/>
    <n v="78"/>
    <x v="2"/>
    <x v="299"/>
    <n v="140"/>
    <n v="4"/>
    <n v="2024"/>
    <x v="4"/>
    <s v="1 to 2 hours"/>
    <x v="2"/>
    <s v="Happy"/>
    <x v="1"/>
    <n v="38"/>
    <x v="1"/>
  </r>
  <r>
    <x v="935"/>
    <x v="3"/>
    <n v="102"/>
    <x v="1"/>
    <x v="300"/>
    <n v="104"/>
    <n v="4.5"/>
    <n v="2024"/>
    <x v="5"/>
    <s v="1 to 2 hours"/>
    <x v="0"/>
    <s v="Happy"/>
    <x v="1"/>
    <n v="38"/>
    <x v="1"/>
  </r>
  <r>
    <x v="936"/>
    <x v="5"/>
    <n v="158"/>
    <x v="3"/>
    <x v="300"/>
    <n v="148"/>
    <n v="4"/>
    <n v="2024"/>
    <x v="5"/>
    <s v="More than 2 hours"/>
    <x v="2"/>
    <s v="Happy"/>
    <x v="1"/>
    <n v="22"/>
    <x v="2"/>
  </r>
  <r>
    <x v="937"/>
    <x v="8"/>
    <n v="56"/>
    <x v="4"/>
    <x v="300"/>
    <n v="205"/>
    <n v="4.3"/>
    <n v="2024"/>
    <x v="5"/>
    <s v="30 to 60 mins"/>
    <x v="2"/>
    <s v="Happy"/>
    <x v="0"/>
    <n v="31"/>
    <x v="2"/>
  </r>
  <r>
    <x v="938"/>
    <x v="1"/>
    <n v="17"/>
    <x v="0"/>
    <x v="300"/>
    <n v="210"/>
    <n v="4.8"/>
    <n v="2024"/>
    <x v="5"/>
    <s v="10 to 30 mins"/>
    <x v="0"/>
    <s v="Happy"/>
    <x v="0"/>
    <n v="36"/>
    <x v="0"/>
  </r>
  <r>
    <x v="939"/>
    <x v="4"/>
    <n v="104"/>
    <x v="3"/>
    <x v="301"/>
    <n v="41"/>
    <n v="4.7"/>
    <n v="2024"/>
    <x v="0"/>
    <s v="1 to 2 hours"/>
    <x v="0"/>
    <s v="Happy"/>
    <x v="1"/>
    <n v="30"/>
    <x v="0"/>
  </r>
  <r>
    <x v="940"/>
    <x v="11"/>
    <n v="96"/>
    <x v="2"/>
    <x v="301"/>
    <n v="136"/>
    <n v="5"/>
    <n v="2024"/>
    <x v="0"/>
    <s v="1 to 2 hours"/>
    <x v="0"/>
    <s v="Happy"/>
    <x v="1"/>
    <n v="43"/>
    <x v="2"/>
  </r>
  <r>
    <x v="941"/>
    <x v="9"/>
    <n v="83"/>
    <x v="1"/>
    <x v="302"/>
    <n v="126"/>
    <n v="1.5"/>
    <n v="2024"/>
    <x v="1"/>
    <s v="1 to 2 hours"/>
    <x v="3"/>
    <b v="0"/>
    <x v="1"/>
    <n v="25"/>
    <x v="1"/>
  </r>
  <r>
    <x v="942"/>
    <x v="2"/>
    <n v="80"/>
    <x v="0"/>
    <x v="303"/>
    <n v="148"/>
    <n v="4.0999999999999996"/>
    <n v="2024"/>
    <x v="2"/>
    <s v="1 to 2 hours"/>
    <x v="2"/>
    <s v="Happy"/>
    <x v="0"/>
    <n v="37"/>
    <x v="1"/>
  </r>
  <r>
    <x v="943"/>
    <x v="9"/>
    <n v="152"/>
    <x v="1"/>
    <x v="303"/>
    <n v="125"/>
    <n v="3.9"/>
    <n v="2024"/>
    <x v="2"/>
    <s v="More than 2 hours"/>
    <x v="2"/>
    <s v="Happy"/>
    <x v="1"/>
    <n v="25"/>
    <x v="1"/>
  </r>
  <r>
    <x v="944"/>
    <x v="6"/>
    <n v="34"/>
    <x v="2"/>
    <x v="303"/>
    <n v="25"/>
    <n v="4.0999999999999996"/>
    <n v="2024"/>
    <x v="2"/>
    <s v="30 to 60 mins"/>
    <x v="2"/>
    <s v="Happy"/>
    <x v="1"/>
    <n v="30"/>
    <x v="2"/>
  </r>
  <r>
    <x v="945"/>
    <x v="7"/>
    <n v="2"/>
    <x v="4"/>
    <x v="304"/>
    <n v="62"/>
    <n v="2.8"/>
    <n v="2024"/>
    <x v="3"/>
    <s v="Under 10 mins"/>
    <x v="1"/>
    <b v="0"/>
    <x v="1"/>
    <n v="37"/>
    <x v="2"/>
  </r>
  <r>
    <x v="946"/>
    <x v="2"/>
    <n v="140"/>
    <x v="2"/>
    <x v="305"/>
    <n v="90"/>
    <n v="4.5999999999999996"/>
    <n v="2024"/>
    <x v="4"/>
    <s v="More than 2 hours"/>
    <x v="0"/>
    <s v="Happy"/>
    <x v="0"/>
    <n v="37"/>
    <x v="1"/>
  </r>
  <r>
    <x v="947"/>
    <x v="1"/>
    <n v="126"/>
    <x v="3"/>
    <x v="306"/>
    <n v="33"/>
    <n v="4.8"/>
    <n v="2024"/>
    <x v="5"/>
    <s v="More than 2 hours"/>
    <x v="0"/>
    <s v="Happy"/>
    <x v="0"/>
    <n v="36"/>
    <x v="0"/>
  </r>
  <r>
    <x v="948"/>
    <x v="3"/>
    <n v="79"/>
    <x v="4"/>
    <x v="306"/>
    <n v="115"/>
    <n v="2.2999999999999998"/>
    <n v="2024"/>
    <x v="5"/>
    <s v="1 to 2 hours"/>
    <x v="3"/>
    <b v="0"/>
    <x v="1"/>
    <n v="38"/>
    <x v="1"/>
  </r>
  <r>
    <x v="949"/>
    <x v="1"/>
    <n v="133"/>
    <x v="3"/>
    <x v="306"/>
    <n v="45"/>
    <n v="2.6"/>
    <n v="2024"/>
    <x v="5"/>
    <s v="More than 2 hours"/>
    <x v="1"/>
    <b v="0"/>
    <x v="0"/>
    <n v="36"/>
    <x v="0"/>
  </r>
  <r>
    <x v="950"/>
    <x v="6"/>
    <n v="97"/>
    <x v="0"/>
    <x v="306"/>
    <n v="114"/>
    <n v="4.8"/>
    <n v="2024"/>
    <x v="5"/>
    <s v="1 to 2 hours"/>
    <x v="0"/>
    <s v="Happy"/>
    <x v="1"/>
    <n v="30"/>
    <x v="2"/>
  </r>
  <r>
    <x v="951"/>
    <x v="3"/>
    <n v="102"/>
    <x v="1"/>
    <x v="307"/>
    <n v="72"/>
    <n v="3.7"/>
    <n v="2024"/>
    <x v="6"/>
    <s v="1 to 2 hours"/>
    <x v="2"/>
    <s v="Happy"/>
    <x v="1"/>
    <n v="38"/>
    <x v="1"/>
  </r>
  <r>
    <x v="952"/>
    <x v="10"/>
    <n v="62"/>
    <x v="0"/>
    <x v="307"/>
    <n v="205"/>
    <n v="4.2"/>
    <n v="2024"/>
    <x v="6"/>
    <s v="1 to 2 hours"/>
    <x v="2"/>
    <s v="Happy"/>
    <x v="0"/>
    <n v="23"/>
    <x v="1"/>
  </r>
  <r>
    <x v="953"/>
    <x v="1"/>
    <n v="149"/>
    <x v="1"/>
    <x v="308"/>
    <n v="42"/>
    <n v="3.3"/>
    <n v="2024"/>
    <x v="0"/>
    <s v="More than 2 hours"/>
    <x v="1"/>
    <b v="0"/>
    <x v="0"/>
    <n v="36"/>
    <x v="0"/>
  </r>
  <r>
    <x v="954"/>
    <x v="7"/>
    <n v="133"/>
    <x v="0"/>
    <x v="308"/>
    <n v="96"/>
    <n v="4.3"/>
    <n v="2024"/>
    <x v="0"/>
    <s v="More than 2 hours"/>
    <x v="2"/>
    <s v="Happy"/>
    <x v="1"/>
    <n v="37"/>
    <x v="2"/>
  </r>
  <r>
    <x v="955"/>
    <x v="3"/>
    <n v="51"/>
    <x v="4"/>
    <x v="308"/>
    <n v="64"/>
    <n v="3.7"/>
    <n v="2024"/>
    <x v="0"/>
    <s v="30 to 60 mins"/>
    <x v="2"/>
    <s v="Happy"/>
    <x v="1"/>
    <n v="38"/>
    <x v="1"/>
  </r>
  <r>
    <x v="956"/>
    <x v="10"/>
    <n v="110"/>
    <x v="0"/>
    <x v="309"/>
    <n v="72"/>
    <n v="3.7"/>
    <n v="2024"/>
    <x v="1"/>
    <s v="1 to 2 hours"/>
    <x v="2"/>
    <s v="Happy"/>
    <x v="0"/>
    <n v="23"/>
    <x v="1"/>
  </r>
  <r>
    <x v="957"/>
    <x v="6"/>
    <n v="38"/>
    <x v="3"/>
    <x v="310"/>
    <n v="27"/>
    <n v="3.1"/>
    <n v="2024"/>
    <x v="2"/>
    <s v="30 to 60 mins"/>
    <x v="1"/>
    <b v="0"/>
    <x v="1"/>
    <n v="30"/>
    <x v="2"/>
  </r>
  <r>
    <x v="958"/>
    <x v="7"/>
    <n v="78"/>
    <x v="3"/>
    <x v="311"/>
    <n v="200"/>
    <n v="2.4"/>
    <n v="2024"/>
    <x v="4"/>
    <s v="1 to 2 hours"/>
    <x v="3"/>
    <b v="0"/>
    <x v="1"/>
    <n v="37"/>
    <x v="2"/>
  </r>
  <r>
    <x v="959"/>
    <x v="6"/>
    <n v="25"/>
    <x v="1"/>
    <x v="312"/>
    <n v="93"/>
    <n v="3.5"/>
    <n v="2024"/>
    <x v="5"/>
    <s v="10 to 30 mins"/>
    <x v="2"/>
    <s v="Happy"/>
    <x v="1"/>
    <n v="30"/>
    <x v="2"/>
  </r>
  <r>
    <x v="960"/>
    <x v="12"/>
    <n v="50"/>
    <x v="4"/>
    <x v="312"/>
    <n v="54"/>
    <n v="4.3"/>
    <n v="2024"/>
    <x v="5"/>
    <s v="30 to 60 mins"/>
    <x v="2"/>
    <s v="Happy"/>
    <x v="1"/>
    <n v="28"/>
    <x v="0"/>
  </r>
  <r>
    <x v="961"/>
    <x v="6"/>
    <n v="103"/>
    <x v="1"/>
    <x v="313"/>
    <n v="72"/>
    <n v="3.4"/>
    <n v="2024"/>
    <x v="6"/>
    <s v="1 to 2 hours"/>
    <x v="1"/>
    <b v="0"/>
    <x v="1"/>
    <n v="30"/>
    <x v="2"/>
  </r>
  <r>
    <x v="962"/>
    <x v="9"/>
    <n v="63"/>
    <x v="2"/>
    <x v="313"/>
    <n v="82"/>
    <n v="3.7"/>
    <n v="2024"/>
    <x v="6"/>
    <s v="1 to 2 hours"/>
    <x v="2"/>
    <s v="Happy"/>
    <x v="1"/>
    <n v="25"/>
    <x v="1"/>
  </r>
  <r>
    <x v="963"/>
    <x v="12"/>
    <n v="96"/>
    <x v="4"/>
    <x v="314"/>
    <n v="164"/>
    <n v="4.8"/>
    <n v="2024"/>
    <x v="3"/>
    <s v="1 to 2 hours"/>
    <x v="0"/>
    <s v="Happy"/>
    <x v="1"/>
    <n v="28"/>
    <x v="0"/>
  </r>
  <r>
    <x v="964"/>
    <x v="2"/>
    <n v="94"/>
    <x v="1"/>
    <x v="314"/>
    <n v="78"/>
    <n v="3.3"/>
    <n v="2024"/>
    <x v="3"/>
    <s v="1 to 2 hours"/>
    <x v="1"/>
    <b v="0"/>
    <x v="0"/>
    <n v="37"/>
    <x v="1"/>
  </r>
  <r>
    <x v="965"/>
    <x v="10"/>
    <n v="46"/>
    <x v="3"/>
    <x v="315"/>
    <n v="135"/>
    <n v="4.2"/>
    <n v="2024"/>
    <x v="4"/>
    <s v="30 to 60 mins"/>
    <x v="2"/>
    <s v="Happy"/>
    <x v="0"/>
    <n v="23"/>
    <x v="1"/>
  </r>
  <r>
    <x v="966"/>
    <x v="14"/>
    <n v="127"/>
    <x v="4"/>
    <x v="316"/>
    <n v="145"/>
    <n v="2.6"/>
    <n v="2024"/>
    <x v="5"/>
    <s v="More than 2 hours"/>
    <x v="1"/>
    <b v="0"/>
    <x v="1"/>
    <n v="42"/>
    <x v="2"/>
  </r>
  <r>
    <x v="967"/>
    <x v="5"/>
    <n v="96"/>
    <x v="3"/>
    <x v="316"/>
    <n v="115"/>
    <n v="4.9000000000000004"/>
    <n v="2024"/>
    <x v="5"/>
    <s v="1 to 2 hours"/>
    <x v="0"/>
    <s v="Happy"/>
    <x v="1"/>
    <n v="22"/>
    <x v="2"/>
  </r>
  <r>
    <x v="968"/>
    <x v="13"/>
    <n v="151"/>
    <x v="1"/>
    <x v="316"/>
    <n v="117"/>
    <n v="2"/>
    <n v="2024"/>
    <x v="5"/>
    <s v="More than 2 hours"/>
    <x v="3"/>
    <b v="0"/>
    <x v="0"/>
    <n v="41"/>
    <x v="1"/>
  </r>
  <r>
    <x v="969"/>
    <x v="14"/>
    <n v="158"/>
    <x v="0"/>
    <x v="317"/>
    <n v="36"/>
    <n v="4.7"/>
    <n v="2024"/>
    <x v="6"/>
    <s v="More than 2 hours"/>
    <x v="0"/>
    <s v="Happy"/>
    <x v="1"/>
    <n v="42"/>
    <x v="2"/>
  </r>
  <r>
    <x v="970"/>
    <x v="2"/>
    <n v="45"/>
    <x v="0"/>
    <x v="317"/>
    <n v="84"/>
    <n v="2.8"/>
    <n v="2024"/>
    <x v="6"/>
    <s v="30 to 60 mins"/>
    <x v="1"/>
    <b v="0"/>
    <x v="0"/>
    <n v="37"/>
    <x v="1"/>
  </r>
  <r>
    <x v="971"/>
    <x v="8"/>
    <n v="141"/>
    <x v="0"/>
    <x v="317"/>
    <n v="66"/>
    <n v="3.2"/>
    <n v="2024"/>
    <x v="6"/>
    <s v="More than 2 hours"/>
    <x v="1"/>
    <b v="0"/>
    <x v="0"/>
    <n v="31"/>
    <x v="2"/>
  </r>
  <r>
    <x v="972"/>
    <x v="6"/>
    <n v="147"/>
    <x v="3"/>
    <x v="317"/>
    <n v="76"/>
    <n v="4.7"/>
    <n v="2024"/>
    <x v="6"/>
    <s v="More than 2 hours"/>
    <x v="0"/>
    <s v="Happy"/>
    <x v="1"/>
    <n v="30"/>
    <x v="2"/>
  </r>
  <r>
    <x v="973"/>
    <x v="11"/>
    <n v="126"/>
    <x v="3"/>
    <x v="317"/>
    <n v="185"/>
    <n v="4.8"/>
    <n v="2024"/>
    <x v="6"/>
    <s v="More than 2 hours"/>
    <x v="0"/>
    <s v="Happy"/>
    <x v="1"/>
    <n v="43"/>
    <x v="2"/>
  </r>
  <r>
    <x v="974"/>
    <x v="2"/>
    <n v="126"/>
    <x v="2"/>
    <x v="318"/>
    <n v="80"/>
    <n v="4.7"/>
    <n v="2024"/>
    <x v="0"/>
    <s v="More than 2 hours"/>
    <x v="0"/>
    <s v="Happy"/>
    <x v="0"/>
    <n v="37"/>
    <x v="1"/>
  </r>
  <r>
    <x v="975"/>
    <x v="7"/>
    <n v="32"/>
    <x v="3"/>
    <x v="318"/>
    <n v="148"/>
    <n v="4"/>
    <n v="2024"/>
    <x v="0"/>
    <s v="30 to 60 mins"/>
    <x v="2"/>
    <s v="Happy"/>
    <x v="1"/>
    <n v="37"/>
    <x v="2"/>
  </r>
  <r>
    <x v="976"/>
    <x v="2"/>
    <n v="84"/>
    <x v="4"/>
    <x v="319"/>
    <n v="180"/>
    <n v="4.9000000000000004"/>
    <n v="2024"/>
    <x v="2"/>
    <s v="1 to 2 hours"/>
    <x v="0"/>
    <s v="Happy"/>
    <x v="0"/>
    <n v="37"/>
    <x v="1"/>
  </r>
  <r>
    <x v="977"/>
    <x v="9"/>
    <n v="120"/>
    <x v="2"/>
    <x v="320"/>
    <n v="190"/>
    <n v="3.7"/>
    <n v="2024"/>
    <x v="3"/>
    <s v="1 to 2 hours"/>
    <x v="2"/>
    <s v="Happy"/>
    <x v="1"/>
    <n v="25"/>
    <x v="1"/>
  </r>
  <r>
    <x v="978"/>
    <x v="4"/>
    <n v="93"/>
    <x v="3"/>
    <x v="320"/>
    <n v="38"/>
    <n v="4.5"/>
    <n v="2024"/>
    <x v="3"/>
    <s v="1 to 2 hours"/>
    <x v="0"/>
    <s v="Happy"/>
    <x v="1"/>
    <n v="30"/>
    <x v="0"/>
  </r>
  <r>
    <x v="979"/>
    <x v="5"/>
    <n v="76"/>
    <x v="1"/>
    <x v="321"/>
    <n v="82"/>
    <n v="2.1"/>
    <n v="2024"/>
    <x v="4"/>
    <s v="1 to 2 hours"/>
    <x v="3"/>
    <b v="0"/>
    <x v="1"/>
    <n v="22"/>
    <x v="2"/>
  </r>
  <r>
    <x v="980"/>
    <x v="14"/>
    <n v="89"/>
    <x v="3"/>
    <x v="322"/>
    <n v="88"/>
    <n v="2.8"/>
    <n v="2024"/>
    <x v="0"/>
    <s v="1 to 2 hours"/>
    <x v="1"/>
    <b v="0"/>
    <x v="1"/>
    <n v="42"/>
    <x v="2"/>
  </r>
  <r>
    <x v="981"/>
    <x v="3"/>
    <n v="91"/>
    <x v="4"/>
    <x v="322"/>
    <n v="42"/>
    <n v="4.0999999999999996"/>
    <n v="2024"/>
    <x v="0"/>
    <s v="1 to 2 hours"/>
    <x v="2"/>
    <s v="Happy"/>
    <x v="1"/>
    <n v="38"/>
    <x v="1"/>
  </r>
  <r>
    <x v="982"/>
    <x v="10"/>
    <n v="7"/>
    <x v="0"/>
    <x v="323"/>
    <n v="64"/>
    <n v="3.3"/>
    <n v="2024"/>
    <x v="1"/>
    <s v="Under 10 mins"/>
    <x v="1"/>
    <b v="0"/>
    <x v="0"/>
    <n v="23"/>
    <x v="1"/>
  </r>
  <r>
    <x v="983"/>
    <x v="7"/>
    <n v="140"/>
    <x v="0"/>
    <x v="323"/>
    <n v="105"/>
    <n v="1.7"/>
    <n v="2024"/>
    <x v="1"/>
    <s v="More than 2 hours"/>
    <x v="3"/>
    <b v="0"/>
    <x v="1"/>
    <n v="37"/>
    <x v="2"/>
  </r>
  <r>
    <x v="984"/>
    <x v="1"/>
    <n v="58"/>
    <x v="2"/>
    <x v="323"/>
    <n v="25"/>
    <n v="3.6"/>
    <n v="2024"/>
    <x v="1"/>
    <s v="30 to 60 mins"/>
    <x v="2"/>
    <s v="Happy"/>
    <x v="0"/>
    <n v="36"/>
    <x v="0"/>
  </r>
  <r>
    <x v="985"/>
    <x v="0"/>
    <n v="90"/>
    <x v="1"/>
    <x v="324"/>
    <n v="176"/>
    <n v="3.6"/>
    <n v="2024"/>
    <x v="2"/>
    <s v="1 to 2 hours"/>
    <x v="2"/>
    <s v="Happy"/>
    <x v="0"/>
    <n v="26"/>
    <x v="0"/>
  </r>
  <r>
    <x v="986"/>
    <x v="0"/>
    <n v="106"/>
    <x v="3"/>
    <x v="325"/>
    <n v="46"/>
    <n v="4.5999999999999996"/>
    <n v="2024"/>
    <x v="3"/>
    <s v="1 to 2 hours"/>
    <x v="0"/>
    <s v="Happy"/>
    <x v="0"/>
    <n v="26"/>
    <x v="0"/>
  </r>
  <r>
    <x v="987"/>
    <x v="9"/>
    <n v="72"/>
    <x v="0"/>
    <x v="325"/>
    <n v="164"/>
    <n v="4.8"/>
    <n v="2024"/>
    <x v="3"/>
    <s v="1 to 2 hours"/>
    <x v="0"/>
    <s v="Happy"/>
    <x v="1"/>
    <n v="25"/>
    <x v="1"/>
  </r>
  <r>
    <x v="988"/>
    <x v="10"/>
    <n v="124"/>
    <x v="0"/>
    <x v="326"/>
    <n v="64"/>
    <n v="4.5"/>
    <n v="2024"/>
    <x v="4"/>
    <s v="More than 2 hours"/>
    <x v="0"/>
    <s v="Happy"/>
    <x v="0"/>
    <n v="23"/>
    <x v="1"/>
  </r>
  <r>
    <x v="989"/>
    <x v="8"/>
    <n v="86"/>
    <x v="4"/>
    <x v="326"/>
    <n v="205"/>
    <n v="4.5"/>
    <n v="2024"/>
    <x v="4"/>
    <s v="1 to 2 hours"/>
    <x v="0"/>
    <s v="Happy"/>
    <x v="0"/>
    <n v="31"/>
    <x v="2"/>
  </r>
  <r>
    <x v="990"/>
    <x v="2"/>
    <n v="164"/>
    <x v="4"/>
    <x v="327"/>
    <n v="100"/>
    <n v="4.5999999999999996"/>
    <n v="2024"/>
    <x v="5"/>
    <s v="More than 2 hours"/>
    <x v="0"/>
    <s v="Happy"/>
    <x v="0"/>
    <n v="37"/>
    <x v="1"/>
  </r>
  <r>
    <x v="991"/>
    <x v="4"/>
    <n v="40"/>
    <x v="1"/>
    <x v="327"/>
    <n v="111"/>
    <n v="4.5999999999999996"/>
    <n v="2024"/>
    <x v="5"/>
    <s v="30 to 60 mins"/>
    <x v="0"/>
    <s v="Happy"/>
    <x v="1"/>
    <n v="30"/>
    <x v="0"/>
  </r>
  <r>
    <x v="992"/>
    <x v="3"/>
    <n v="76"/>
    <x v="2"/>
    <x v="327"/>
    <n v="80"/>
    <n v="3.5"/>
    <n v="2024"/>
    <x v="5"/>
    <s v="1 to 2 hours"/>
    <x v="2"/>
    <s v="Happy"/>
    <x v="1"/>
    <n v="38"/>
    <x v="1"/>
  </r>
  <r>
    <x v="993"/>
    <x v="10"/>
    <n v="95"/>
    <x v="3"/>
    <x v="327"/>
    <n v="50"/>
    <n v="2.9"/>
    <n v="2024"/>
    <x v="5"/>
    <s v="1 to 2 hours"/>
    <x v="1"/>
    <b v="0"/>
    <x v="0"/>
    <n v="23"/>
    <x v="1"/>
  </r>
  <r>
    <x v="994"/>
    <x v="3"/>
    <n v="113"/>
    <x v="0"/>
    <x v="328"/>
    <n v="165"/>
    <n v="4.7"/>
    <n v="2024"/>
    <x v="6"/>
    <s v="1 to 2 hours"/>
    <x v="0"/>
    <s v="Happy"/>
    <x v="1"/>
    <n v="38"/>
    <x v="1"/>
  </r>
  <r>
    <x v="995"/>
    <x v="8"/>
    <n v="81"/>
    <x v="0"/>
    <x v="328"/>
    <n v="28"/>
    <n v="3.9"/>
    <n v="2024"/>
    <x v="6"/>
    <s v="1 to 2 hours"/>
    <x v="2"/>
    <s v="Happy"/>
    <x v="0"/>
    <n v="31"/>
    <x v="2"/>
  </r>
  <r>
    <x v="996"/>
    <x v="5"/>
    <n v="127"/>
    <x v="3"/>
    <x v="328"/>
    <n v="215"/>
    <n v="3.8"/>
    <n v="2024"/>
    <x v="6"/>
    <s v="More than 2 hours"/>
    <x v="2"/>
    <s v="Happy"/>
    <x v="1"/>
    <n v="22"/>
    <x v="2"/>
  </r>
  <r>
    <x v="997"/>
    <x v="7"/>
    <n v="146"/>
    <x v="0"/>
    <x v="329"/>
    <n v="115"/>
    <n v="2.2999999999999998"/>
    <n v="2024"/>
    <x v="0"/>
    <s v="More than 2 hours"/>
    <x v="3"/>
    <b v="0"/>
    <x v="1"/>
    <n v="37"/>
    <x v="2"/>
  </r>
  <r>
    <x v="998"/>
    <x v="6"/>
    <n v="123"/>
    <x v="0"/>
    <x v="329"/>
    <n v="64"/>
    <n v="3.7"/>
    <n v="2024"/>
    <x v="0"/>
    <s v="More than 2 hours"/>
    <x v="2"/>
    <s v="Happy"/>
    <x v="1"/>
    <n v="30"/>
    <x v="2"/>
  </r>
  <r>
    <x v="999"/>
    <x v="9"/>
    <n v="114"/>
    <x v="2"/>
    <x v="329"/>
    <n v="40"/>
    <n v="3.9"/>
    <n v="2024"/>
    <x v="0"/>
    <s v="1 to 2 hours"/>
    <x v="2"/>
    <s v="Happy"/>
    <x v="1"/>
    <n v="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A2E1F0-CA17-9D4F-A8C3-D9F9990B7E60}" name="PivotTable10"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68:C72" firstHeaderRow="1" firstDataRow="2" firstDataCol="1"/>
  <pivotFields count="17">
    <pivotField showAll="0"/>
    <pivotField showAll="0"/>
    <pivotField showAll="0"/>
    <pivotField showAll="0">
      <items count="6">
        <item x="2"/>
        <item x="1"/>
        <item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dataField="1" showAll="0">
      <items count="7">
        <item h="1" x="4"/>
        <item x="5"/>
        <item x="3"/>
        <item x="1"/>
        <item x="2"/>
        <item x="0"/>
        <item t="default"/>
      </items>
    </pivotField>
    <pivotField showAll="0"/>
    <pivotField axis="axisCol" showAll="0">
      <items count="3">
        <item x="1"/>
        <item x="0"/>
        <item t="default"/>
      </items>
    </pivotField>
    <pivotField showAll="0"/>
    <pivotField axis="axisRow"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3">
    <i>
      <x/>
    </i>
    <i>
      <x v="1"/>
    </i>
    <i>
      <x v="2"/>
    </i>
  </rowItems>
  <colFields count="1">
    <field x="12"/>
  </colFields>
  <colItems count="2">
    <i>
      <x/>
    </i>
    <i>
      <x v="1"/>
    </i>
  </colItems>
  <dataFields count="1">
    <dataField name="Sum of Rating rounded" fld="10" showDataAs="percentOfRow" baseField="0" baseItem="0" numFmtId="10"/>
  </dataFields>
  <chartFormats count="2">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1725C3-B387-4B4E-840E-8446737EA3B5}" name="PivotTable8"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H4" firstHeaderRow="0" firstDataRow="1" firstDataCol="0"/>
  <pivotFields count="17">
    <pivotField dataField="1" showAll="0"/>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alls" fld="0" subtotal="count" baseField="0" baseItem="0"/>
    <dataField name="Amount" fld="5" baseField="0" baseItem="0" numFmtId="170"/>
    <dataField name="Call time" fld="2" baseField="0" baseItem="0" numFmtId="168"/>
    <dataField name="Average Rating" fld="6" subtotal="average" baseField="0" baseItem="0" numFmtId="166"/>
  </dataFields>
  <formats count="3">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BD43D-9E17-3743-B34E-BF50C67B321E}" name="PivotTable7" cacheId="4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46:H65" firstHeaderRow="1" firstDataRow="2" firstDataCol="2"/>
  <pivotFields count="17">
    <pivotField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compact="0" outline="0" showAll="0">
      <items count="16">
        <item x="13"/>
        <item x="8"/>
        <item x="0"/>
        <item x="1"/>
        <item x="2"/>
        <item x="10"/>
        <item x="5"/>
        <item x="14"/>
        <item x="9"/>
        <item x="6"/>
        <item x="4"/>
        <item x="12"/>
        <item x="7"/>
        <item x="3"/>
        <item x="11"/>
        <item t="default"/>
      </items>
    </pivotField>
    <pivotField compact="0" outline="0" showAll="0"/>
    <pivotField axis="axisCol" compact="0" outline="0" showAll="0">
      <items count="6">
        <item x="2"/>
        <item x="1"/>
        <item x="4"/>
        <item x="3"/>
        <item x="0"/>
        <item t="default"/>
      </items>
    </pivotField>
    <pivotField compact="0" numFmtId="164" outline="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7">
        <item h="1" x="4"/>
        <item x="5"/>
        <item x="3"/>
        <item x="1"/>
        <item x="2"/>
        <item x="0"/>
        <item t="default"/>
      </items>
    </pivotField>
    <pivotField compact="0" outline="0" showAll="0"/>
    <pivotField compact="0" outline="0" showAll="0"/>
    <pivotField compact="0" outline="0" showAll="0"/>
    <pivotField axis="axisRow" compact="0" outline="0" showAll="0">
      <items count="4">
        <item x="0"/>
        <item x="2"/>
        <item x="1"/>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4"/>
    <field x="1"/>
  </rowFields>
  <rowItems count="18">
    <i>
      <x/>
      <x v="2"/>
    </i>
    <i r="1">
      <x v="3"/>
    </i>
    <i r="1">
      <x v="10"/>
    </i>
    <i r="1">
      <x v="11"/>
    </i>
    <i t="default">
      <x/>
    </i>
    <i>
      <x v="1"/>
      <x v="1"/>
    </i>
    <i r="1">
      <x v="6"/>
    </i>
    <i r="1">
      <x v="7"/>
    </i>
    <i r="1">
      <x v="9"/>
    </i>
    <i r="1">
      <x v="12"/>
    </i>
    <i r="1">
      <x v="14"/>
    </i>
    <i t="default">
      <x v="1"/>
    </i>
    <i>
      <x v="2"/>
      <x/>
    </i>
    <i r="1">
      <x v="4"/>
    </i>
    <i r="1">
      <x v="5"/>
    </i>
    <i r="1">
      <x v="8"/>
    </i>
    <i r="1">
      <x v="13"/>
    </i>
    <i t="default">
      <x v="2"/>
    </i>
  </rowItems>
  <colFields count="1">
    <field x="3"/>
  </colFields>
  <colItems count="6">
    <i>
      <x/>
    </i>
    <i>
      <x v="1"/>
    </i>
    <i>
      <x v="2"/>
    </i>
    <i>
      <x v="3"/>
    </i>
    <i>
      <x v="4"/>
    </i>
    <i t="grand">
      <x/>
    </i>
  </colItems>
  <dataFields count="1">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3BE070-2B99-C04E-ABA1-4ED8213450F3}" name="PivotTable6"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7:B42" firstHeaderRow="1" firstDataRow="1" firstDataCol="1"/>
  <pivotFields count="17">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Row" dataField="1" showAll="0">
      <items count="7">
        <item h="1" x="4"/>
        <item x="5"/>
        <item x="3"/>
        <item x="1"/>
        <item x="2"/>
        <item x="0"/>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v="1"/>
    </i>
    <i>
      <x v="2"/>
    </i>
    <i>
      <x v="3"/>
    </i>
    <i>
      <x v="4"/>
    </i>
    <i>
      <x v="5"/>
    </i>
  </rowItems>
  <colItems count="1">
    <i/>
  </colItems>
  <dataFields count="1">
    <dataField name="Sum of Rating rounded"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B0FB23-5816-F144-9263-19446CF00622}" name="PivotTable4"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22:E29" firstHeaderRow="1" firstDataRow="1" firstDataCol="1"/>
  <pivotFields count="17">
    <pivotField dataField="1"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i>
    <i>
      <x v="1"/>
    </i>
    <i>
      <x v="2"/>
    </i>
    <i>
      <x v="3"/>
    </i>
    <i>
      <x v="4"/>
    </i>
    <i>
      <x v="5"/>
    </i>
    <i>
      <x v="6"/>
    </i>
  </rowItems>
  <colItems count="1">
    <i/>
  </colItems>
  <dataFields count="1">
    <dataField name="Count of Call number"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5B72D-9A5A-4A42-A8BE-2FF4333688D0}" name="PivotTable3"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2:B34" firstHeaderRow="1" firstDataRow="1" firstDataCol="1"/>
  <pivotFields count="17">
    <pivotField dataField="1" showAll="0"/>
    <pivotField showAll="0"/>
    <pivotField showAll="0"/>
    <pivotField showAll="0">
      <items count="6">
        <item h="1" x="2"/>
        <item h="1" x="1"/>
        <item h="1" x="4"/>
        <item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2">
    <i>
      <x v="1"/>
    </i>
    <i>
      <x v="2"/>
    </i>
    <i>
      <x v="3"/>
    </i>
    <i>
      <x v="4"/>
    </i>
    <i>
      <x v="5"/>
    </i>
    <i>
      <x v="6"/>
    </i>
    <i>
      <x v="7"/>
    </i>
    <i>
      <x v="8"/>
    </i>
    <i>
      <x v="9"/>
    </i>
    <i>
      <x v="10"/>
    </i>
    <i>
      <x v="11"/>
    </i>
    <i>
      <x v="12"/>
    </i>
  </rowItems>
  <colItems count="1">
    <i/>
  </colItems>
  <dataFields count="1">
    <dataField name="Count of Call number"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D37E65-FEDE-E641-8E47-03376B692806}" name="PivotTable2"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2:B17" firstHeaderRow="1" firstDataRow="1" firstDataCol="1"/>
  <pivotFields count="17">
    <pivotField dataField="1"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Count of Call number"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BB8C03-D023-234D-9532-C01796678D73}" name="PivotTable1"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7">
    <pivotField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Sum of Purchase Amount"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AD79828-6D89-9743-BC9D-9ED53677BEF9}" sourceName="Representative">
  <pivotTables>
    <pivotTable tabId="6" name="PivotTable2"/>
  </pivotTables>
  <data>
    <tabular pivotCacheId="1092168219" showMissing="0" crossFilter="showItemsWithNoData">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6946497-6084-7744-9AF4-0D12ACA8F2F9}" cache="Slicer_Representative" caption="Representative" showCaption="0"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P1003" totalsRowShown="0">
  <autoFilter ref="B3:P1003" xr:uid="{A3C59B71-D053-4B57-AB1E-899F1C5F06CA}"/>
  <tableColumns count="15">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 id="12" xr3:uid="{54CE4FF2-053F-C14D-AD7C-8D42B792175B}" name="happy_calls" dataDxfId="6">
      <calculatedColumnFormula>IF(calls[[#This Row],[Rating rounded]]&gt;=4,"Happy")</calculatedColumnFormula>
    </tableColumn>
    <tableColumn id="13" xr3:uid="{0E5627EA-90A2-D646-B9C5-53A4E315310F}" name="Gender" dataDxfId="5">
      <calculatedColumnFormula>_xlfn.XLOOKUP(calls[[#This Row],[Customer ID]],customers[Customer ID],customers[Gedner])</calculatedColumnFormula>
    </tableColumn>
    <tableColumn id="14" xr3:uid="{71546DB5-E466-FB4F-AD53-28319E7CB450}" name="Age" dataDxfId="4">
      <calculatedColumnFormula>_xlfn.XLOOKUP(calls[[#This Row],[Customer ID]],customers[Customer ID],customers[Age])</calculatedColumnFormula>
    </tableColumn>
    <tableColumn id="15" xr3:uid="{F423A9C4-9D31-FE41-9D0F-4B892557430A}" name="City" dataDxfId="3">
      <calculatedColumnFormula>_xlfn.XLOOKUP(calls[[#This Row],[Customer ID]],customers[Customer ID],customers[City])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T3:W18" totalsRowShown="0" headerRowDxfId="14" headerRowBorderDxfId="13" tableBorderDxfId="12" totalsRowBorderDxfId="11">
  <autoFilter ref="T3:W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ED32-D786-4D4D-B7E1-F4A40AF791F6}">
  <dimension ref="A2:I72"/>
  <sheetViews>
    <sheetView topLeftCell="A34" workbookViewId="0">
      <selection activeCell="Q64" sqref="J48:Q64"/>
    </sheetView>
  </sheetViews>
  <sheetFormatPr baseColWidth="10" defaultRowHeight="15" x14ac:dyDescent="0.2"/>
  <cols>
    <col min="1" max="1" width="13" bestFit="1" customWidth="1"/>
    <col min="2" max="2" width="18.6640625" bestFit="1" customWidth="1"/>
    <col min="3" max="3" width="7.1640625" bestFit="1" customWidth="1"/>
    <col min="4" max="4" width="16.1640625" bestFit="1" customWidth="1"/>
    <col min="5" max="5" width="5.5" bestFit="1" customWidth="1"/>
    <col min="6" max="6" width="11.1640625" bestFit="1" customWidth="1"/>
    <col min="7" max="7" width="10.1640625" bestFit="1" customWidth="1"/>
    <col min="8" max="8" width="13.5" bestFit="1" customWidth="1"/>
    <col min="9" max="9" width="18.33203125" bestFit="1" customWidth="1"/>
    <col min="10" max="10" width="23.5" bestFit="1" customWidth="1"/>
    <col min="11" max="11" width="22.33203125" bestFit="1" customWidth="1"/>
  </cols>
  <sheetData>
    <row r="2" spans="1:9" x14ac:dyDescent="0.2">
      <c r="A2" s="23" t="s">
        <v>1046</v>
      </c>
      <c r="B2" s="23"/>
    </row>
    <row r="3" spans="1:9" x14ac:dyDescent="0.2">
      <c r="A3" s="20" t="s">
        <v>1042</v>
      </c>
      <c r="B3" t="s">
        <v>1044</v>
      </c>
      <c r="E3" t="s">
        <v>1045</v>
      </c>
      <c r="F3" t="s">
        <v>1046</v>
      </c>
      <c r="G3" t="s">
        <v>1077</v>
      </c>
      <c r="H3" t="s">
        <v>1078</v>
      </c>
      <c r="I3" t="s">
        <v>1079</v>
      </c>
    </row>
    <row r="4" spans="1:9" x14ac:dyDescent="0.2">
      <c r="A4" s="21" t="s">
        <v>11</v>
      </c>
      <c r="B4" s="22">
        <v>18415</v>
      </c>
      <c r="E4" s="22">
        <v>1000</v>
      </c>
      <c r="F4" s="29">
        <v>96623</v>
      </c>
      <c r="G4" s="28">
        <v>89850</v>
      </c>
      <c r="H4" s="27">
        <v>3.8854000000000033</v>
      </c>
      <c r="I4" s="22">
        <v>735</v>
      </c>
    </row>
    <row r="5" spans="1:9" x14ac:dyDescent="0.2">
      <c r="A5" s="21" t="s">
        <v>9</v>
      </c>
      <c r="B5" s="22">
        <v>20581</v>
      </c>
    </row>
    <row r="6" spans="1:9" x14ac:dyDescent="0.2">
      <c r="A6" s="21" t="s">
        <v>6</v>
      </c>
      <c r="B6" s="22">
        <v>20872</v>
      </c>
    </row>
    <row r="7" spans="1:9" x14ac:dyDescent="0.2">
      <c r="A7" s="21" t="s">
        <v>13</v>
      </c>
      <c r="B7" s="22">
        <v>16651</v>
      </c>
    </row>
    <row r="8" spans="1:9" x14ac:dyDescent="0.2">
      <c r="A8" s="21" t="s">
        <v>10</v>
      </c>
      <c r="B8" s="22">
        <v>20104</v>
      </c>
    </row>
    <row r="11" spans="1:9" x14ac:dyDescent="0.2">
      <c r="A11" s="23" t="s">
        <v>1045</v>
      </c>
      <c r="B11" s="23"/>
    </row>
    <row r="12" spans="1:9" x14ac:dyDescent="0.2">
      <c r="A12" s="20" t="s">
        <v>1042</v>
      </c>
      <c r="B12" t="s">
        <v>1059</v>
      </c>
    </row>
    <row r="13" spans="1:9" x14ac:dyDescent="0.2">
      <c r="A13" s="21" t="s">
        <v>11</v>
      </c>
      <c r="B13" s="22">
        <v>189</v>
      </c>
    </row>
    <row r="14" spans="1:9" x14ac:dyDescent="0.2">
      <c r="A14" s="21" t="s">
        <v>9</v>
      </c>
      <c r="B14" s="22">
        <v>218</v>
      </c>
    </row>
    <row r="15" spans="1:9" x14ac:dyDescent="0.2">
      <c r="A15" s="21" t="s">
        <v>6</v>
      </c>
      <c r="B15" s="22">
        <v>207</v>
      </c>
    </row>
    <row r="16" spans="1:9" x14ac:dyDescent="0.2">
      <c r="A16" s="21" t="s">
        <v>13</v>
      </c>
      <c r="B16" s="22">
        <v>186</v>
      </c>
    </row>
    <row r="17" spans="1:5" x14ac:dyDescent="0.2">
      <c r="A17" s="21" t="s">
        <v>10</v>
      </c>
      <c r="B17" s="22">
        <v>200</v>
      </c>
    </row>
    <row r="21" spans="1:5" x14ac:dyDescent="0.2">
      <c r="A21" s="23" t="s">
        <v>1060</v>
      </c>
      <c r="B21" s="23"/>
      <c r="D21" s="23" t="s">
        <v>1061</v>
      </c>
      <c r="E21" s="23"/>
    </row>
    <row r="22" spans="1:5" x14ac:dyDescent="0.2">
      <c r="A22" s="20" t="s">
        <v>1042</v>
      </c>
      <c r="B22" t="s">
        <v>1059</v>
      </c>
      <c r="D22" s="20" t="s">
        <v>1042</v>
      </c>
      <c r="E22" t="s">
        <v>1059</v>
      </c>
    </row>
    <row r="23" spans="1:5" x14ac:dyDescent="0.2">
      <c r="A23" s="21" t="s">
        <v>1047</v>
      </c>
      <c r="B23" s="22">
        <v>79</v>
      </c>
      <c r="D23" s="21" t="s">
        <v>1062</v>
      </c>
      <c r="E23" s="22">
        <v>133</v>
      </c>
    </row>
    <row r="24" spans="1:5" x14ac:dyDescent="0.2">
      <c r="A24" s="21" t="s">
        <v>1048</v>
      </c>
      <c r="B24" s="22">
        <v>66</v>
      </c>
      <c r="D24" s="21" t="s">
        <v>1063</v>
      </c>
      <c r="E24" s="22">
        <v>138</v>
      </c>
    </row>
    <row r="25" spans="1:5" x14ac:dyDescent="0.2">
      <c r="A25" s="21" t="s">
        <v>1049</v>
      </c>
      <c r="B25" s="22">
        <v>155</v>
      </c>
      <c r="D25" s="21" t="s">
        <v>1064</v>
      </c>
      <c r="E25" s="22">
        <v>153</v>
      </c>
    </row>
    <row r="26" spans="1:5" x14ac:dyDescent="0.2">
      <c r="A26" s="21" t="s">
        <v>1050</v>
      </c>
      <c r="B26" s="22">
        <v>136</v>
      </c>
      <c r="D26" s="21" t="s">
        <v>1065</v>
      </c>
      <c r="E26" s="22">
        <v>128</v>
      </c>
    </row>
    <row r="27" spans="1:5" x14ac:dyDescent="0.2">
      <c r="A27" s="21" t="s">
        <v>1051</v>
      </c>
      <c r="B27" s="22">
        <v>83</v>
      </c>
      <c r="D27" s="21" t="s">
        <v>1066</v>
      </c>
      <c r="E27" s="22">
        <v>141</v>
      </c>
    </row>
    <row r="28" spans="1:5" x14ac:dyDescent="0.2">
      <c r="A28" s="21" t="s">
        <v>1052</v>
      </c>
      <c r="B28" s="22">
        <v>67</v>
      </c>
      <c r="D28" s="21" t="s">
        <v>1067</v>
      </c>
      <c r="E28" s="22">
        <v>161</v>
      </c>
    </row>
    <row r="29" spans="1:5" x14ac:dyDescent="0.2">
      <c r="A29" s="21" t="s">
        <v>1053</v>
      </c>
      <c r="B29" s="22">
        <v>64</v>
      </c>
      <c r="D29" s="21" t="s">
        <v>1068</v>
      </c>
      <c r="E29" s="22">
        <v>146</v>
      </c>
    </row>
    <row r="30" spans="1:5" x14ac:dyDescent="0.2">
      <c r="A30" s="21" t="s">
        <v>1054</v>
      </c>
      <c r="B30" s="22">
        <v>50</v>
      </c>
    </row>
    <row r="31" spans="1:5" x14ac:dyDescent="0.2">
      <c r="A31" s="21" t="s">
        <v>1055</v>
      </c>
      <c r="B31" s="22">
        <v>76</v>
      </c>
    </row>
    <row r="32" spans="1:5" x14ac:dyDescent="0.2">
      <c r="A32" s="21" t="s">
        <v>1056</v>
      </c>
      <c r="B32" s="22">
        <v>114</v>
      </c>
    </row>
    <row r="33" spans="1:8" x14ac:dyDescent="0.2">
      <c r="A33" s="21" t="s">
        <v>1057</v>
      </c>
      <c r="B33" s="22">
        <v>57</v>
      </c>
    </row>
    <row r="34" spans="1:8" x14ac:dyDescent="0.2">
      <c r="A34" s="21" t="s">
        <v>1058</v>
      </c>
      <c r="B34" s="22">
        <v>53</v>
      </c>
    </row>
    <row r="37" spans="1:8" x14ac:dyDescent="0.2">
      <c r="A37" s="20" t="s">
        <v>1042</v>
      </c>
      <c r="B37" t="s">
        <v>1069</v>
      </c>
    </row>
    <row r="38" spans="1:8" x14ac:dyDescent="0.2">
      <c r="A38" s="21">
        <v>1</v>
      </c>
      <c r="B38" s="22">
        <v>8</v>
      </c>
    </row>
    <row r="39" spans="1:8" x14ac:dyDescent="0.2">
      <c r="A39" s="21">
        <v>2</v>
      </c>
      <c r="B39" s="22">
        <v>118</v>
      </c>
    </row>
    <row r="40" spans="1:8" x14ac:dyDescent="0.2">
      <c r="A40" s="21">
        <v>3</v>
      </c>
      <c r="B40" s="22">
        <v>591</v>
      </c>
    </row>
    <row r="41" spans="1:8" x14ac:dyDescent="0.2">
      <c r="A41" s="21">
        <v>4</v>
      </c>
      <c r="B41" s="22">
        <v>1712</v>
      </c>
    </row>
    <row r="42" spans="1:8" x14ac:dyDescent="0.2">
      <c r="A42" s="21">
        <v>5</v>
      </c>
      <c r="B42" s="22">
        <v>1535</v>
      </c>
    </row>
    <row r="46" spans="1:8" x14ac:dyDescent="0.2">
      <c r="A46" s="20" t="s">
        <v>1044</v>
      </c>
      <c r="C46" s="20" t="s">
        <v>3</v>
      </c>
    </row>
    <row r="47" spans="1:8" x14ac:dyDescent="0.2">
      <c r="A47" s="20" t="s">
        <v>997</v>
      </c>
      <c r="B47" s="20" t="s">
        <v>0</v>
      </c>
      <c r="C47" t="s">
        <v>11</v>
      </c>
      <c r="D47" t="s">
        <v>9</v>
      </c>
      <c r="E47" t="s">
        <v>6</v>
      </c>
      <c r="F47" t="s">
        <v>13</v>
      </c>
      <c r="G47" t="s">
        <v>10</v>
      </c>
      <c r="H47" t="s">
        <v>1043</v>
      </c>
    </row>
    <row r="48" spans="1:8" x14ac:dyDescent="0.2">
      <c r="A48" t="s">
        <v>1002</v>
      </c>
      <c r="B48" t="s">
        <v>20</v>
      </c>
      <c r="C48" s="22">
        <v>891</v>
      </c>
      <c r="D48" s="22">
        <v>1332</v>
      </c>
      <c r="E48" s="22">
        <v>1282</v>
      </c>
      <c r="F48" s="22">
        <v>739</v>
      </c>
      <c r="G48" s="22">
        <v>560</v>
      </c>
      <c r="H48" s="22">
        <v>4804</v>
      </c>
    </row>
    <row r="49" spans="1:8" x14ac:dyDescent="0.2">
      <c r="B49" t="s">
        <v>12</v>
      </c>
      <c r="C49" s="22">
        <v>1991</v>
      </c>
      <c r="D49" s="22">
        <v>1886</v>
      </c>
      <c r="E49" s="22">
        <v>1206</v>
      </c>
      <c r="F49" s="22">
        <v>884</v>
      </c>
      <c r="G49" s="22">
        <v>1722</v>
      </c>
      <c r="H49" s="22">
        <v>7689</v>
      </c>
    </row>
    <row r="50" spans="1:8" x14ac:dyDescent="0.2">
      <c r="B50" t="s">
        <v>8</v>
      </c>
      <c r="C50" s="22">
        <v>1163</v>
      </c>
      <c r="D50" s="22">
        <v>1180</v>
      </c>
      <c r="E50" s="22">
        <v>1616</v>
      </c>
      <c r="F50" s="22">
        <v>1043</v>
      </c>
      <c r="G50" s="22">
        <v>1747</v>
      </c>
      <c r="H50" s="22">
        <v>6749</v>
      </c>
    </row>
    <row r="51" spans="1:8" x14ac:dyDescent="0.2">
      <c r="B51" t="s">
        <v>16</v>
      </c>
      <c r="C51" s="22">
        <v>1438</v>
      </c>
      <c r="D51" s="22">
        <v>1616</v>
      </c>
      <c r="E51" s="22">
        <v>866</v>
      </c>
      <c r="F51" s="22">
        <v>829</v>
      </c>
      <c r="G51" s="22">
        <v>2070</v>
      </c>
      <c r="H51" s="22">
        <v>6819</v>
      </c>
    </row>
    <row r="52" spans="1:8" x14ac:dyDescent="0.2">
      <c r="A52" t="s">
        <v>1073</v>
      </c>
      <c r="C52" s="22">
        <v>5483</v>
      </c>
      <c r="D52" s="22">
        <v>6014</v>
      </c>
      <c r="E52" s="22">
        <v>4970</v>
      </c>
      <c r="F52" s="22">
        <v>3495</v>
      </c>
      <c r="G52" s="22">
        <v>6099</v>
      </c>
      <c r="H52" s="22">
        <v>26061</v>
      </c>
    </row>
    <row r="53" spans="1:8" x14ac:dyDescent="0.2">
      <c r="A53" t="s">
        <v>1001</v>
      </c>
      <c r="B53" t="s">
        <v>24</v>
      </c>
      <c r="C53" s="22">
        <v>1233</v>
      </c>
      <c r="D53" s="22">
        <v>223</v>
      </c>
      <c r="E53" s="22">
        <v>1680</v>
      </c>
      <c r="F53" s="22">
        <v>990</v>
      </c>
      <c r="G53" s="22">
        <v>1508</v>
      </c>
      <c r="H53" s="22">
        <v>5634</v>
      </c>
    </row>
    <row r="54" spans="1:8" x14ac:dyDescent="0.2">
      <c r="B54" t="s">
        <v>15</v>
      </c>
      <c r="C54" s="22">
        <v>1598</v>
      </c>
      <c r="D54" s="22">
        <v>1907</v>
      </c>
      <c r="E54" s="22">
        <v>869</v>
      </c>
      <c r="F54" s="22">
        <v>1426</v>
      </c>
      <c r="G54" s="22">
        <v>1416</v>
      </c>
      <c r="H54" s="22">
        <v>7216</v>
      </c>
    </row>
    <row r="55" spans="1:8" x14ac:dyDescent="0.2">
      <c r="B55" t="s">
        <v>5</v>
      </c>
      <c r="C55" s="22">
        <v>900</v>
      </c>
      <c r="D55" s="22">
        <v>1016</v>
      </c>
      <c r="E55" s="22">
        <v>960</v>
      </c>
      <c r="F55" s="22">
        <v>940</v>
      </c>
      <c r="G55" s="22">
        <v>1193</v>
      </c>
      <c r="H55" s="22">
        <v>5009</v>
      </c>
    </row>
    <row r="56" spans="1:8" x14ac:dyDescent="0.2">
      <c r="B56" t="s">
        <v>18</v>
      </c>
      <c r="C56" s="22">
        <v>900</v>
      </c>
      <c r="D56" s="22">
        <v>1470</v>
      </c>
      <c r="E56" s="22">
        <v>1617</v>
      </c>
      <c r="F56" s="22">
        <v>1314</v>
      </c>
      <c r="G56" s="22">
        <v>941</v>
      </c>
      <c r="H56" s="22">
        <v>6242</v>
      </c>
    </row>
    <row r="57" spans="1:8" x14ac:dyDescent="0.2">
      <c r="B57" t="s">
        <v>14</v>
      </c>
      <c r="C57" s="22">
        <v>1255</v>
      </c>
      <c r="D57" s="22">
        <v>516</v>
      </c>
      <c r="E57" s="22">
        <v>1874</v>
      </c>
      <c r="F57" s="22">
        <v>1863</v>
      </c>
      <c r="G57" s="22">
        <v>1722</v>
      </c>
      <c r="H57" s="22">
        <v>7230</v>
      </c>
    </row>
    <row r="58" spans="1:8" x14ac:dyDescent="0.2">
      <c r="B58" t="s">
        <v>19</v>
      </c>
      <c r="C58" s="22">
        <v>1138</v>
      </c>
      <c r="D58" s="22">
        <v>1898</v>
      </c>
      <c r="E58" s="22">
        <v>1482</v>
      </c>
      <c r="F58" s="22">
        <v>846</v>
      </c>
      <c r="G58" s="22">
        <v>1154</v>
      </c>
      <c r="H58" s="22">
        <v>6518</v>
      </c>
    </row>
    <row r="59" spans="1:8" x14ac:dyDescent="0.2">
      <c r="A59" t="s">
        <v>1074</v>
      </c>
      <c r="C59" s="22">
        <v>7024</v>
      </c>
      <c r="D59" s="22">
        <v>7030</v>
      </c>
      <c r="E59" s="22">
        <v>8482</v>
      </c>
      <c r="F59" s="22">
        <v>7379</v>
      </c>
      <c r="G59" s="22">
        <v>7934</v>
      </c>
      <c r="H59" s="22">
        <v>37849</v>
      </c>
    </row>
    <row r="60" spans="1:8" x14ac:dyDescent="0.2">
      <c r="A60" t="s">
        <v>1000</v>
      </c>
      <c r="B60" t="s">
        <v>17</v>
      </c>
      <c r="C60" s="22">
        <v>1655</v>
      </c>
      <c r="D60" s="22">
        <v>805</v>
      </c>
      <c r="E60" s="22">
        <v>2263</v>
      </c>
      <c r="F60" s="22">
        <v>987</v>
      </c>
      <c r="G60" s="22">
        <v>1075</v>
      </c>
      <c r="H60" s="22">
        <v>6785</v>
      </c>
    </row>
    <row r="61" spans="1:8" x14ac:dyDescent="0.2">
      <c r="B61" t="s">
        <v>23</v>
      </c>
      <c r="C61" s="22">
        <v>1104</v>
      </c>
      <c r="D61" s="22">
        <v>2280</v>
      </c>
      <c r="E61" s="22">
        <v>1445</v>
      </c>
      <c r="F61" s="22">
        <v>1722</v>
      </c>
      <c r="G61" s="22">
        <v>1196</v>
      </c>
      <c r="H61" s="22">
        <v>7747</v>
      </c>
    </row>
    <row r="62" spans="1:8" x14ac:dyDescent="0.2">
      <c r="B62" t="s">
        <v>7</v>
      </c>
      <c r="C62" s="22">
        <v>372</v>
      </c>
      <c r="D62" s="22">
        <v>1818</v>
      </c>
      <c r="E62" s="22">
        <v>1346</v>
      </c>
      <c r="F62" s="22">
        <v>1156</v>
      </c>
      <c r="G62" s="22">
        <v>1484</v>
      </c>
      <c r="H62" s="22">
        <v>6176</v>
      </c>
    </row>
    <row r="63" spans="1:8" x14ac:dyDescent="0.2">
      <c r="B63" t="s">
        <v>22</v>
      </c>
      <c r="C63" s="22">
        <v>1415</v>
      </c>
      <c r="D63" s="22">
        <v>1271</v>
      </c>
      <c r="E63" s="22">
        <v>1214</v>
      </c>
      <c r="F63" s="22">
        <v>1135</v>
      </c>
      <c r="G63" s="22">
        <v>1566</v>
      </c>
      <c r="H63" s="22">
        <v>6601</v>
      </c>
    </row>
    <row r="64" spans="1:8" x14ac:dyDescent="0.2">
      <c r="B64" t="s">
        <v>21</v>
      </c>
      <c r="C64" s="22">
        <v>1362</v>
      </c>
      <c r="D64" s="22">
        <v>1363</v>
      </c>
      <c r="E64" s="22">
        <v>1152</v>
      </c>
      <c r="F64" s="22">
        <v>777</v>
      </c>
      <c r="G64" s="22">
        <v>750</v>
      </c>
      <c r="H64" s="22">
        <v>5404</v>
      </c>
    </row>
    <row r="65" spans="1:8" x14ac:dyDescent="0.2">
      <c r="A65" t="s">
        <v>1075</v>
      </c>
      <c r="C65" s="22">
        <v>5908</v>
      </c>
      <c r="D65" s="22">
        <v>7537</v>
      </c>
      <c r="E65" s="22">
        <v>7420</v>
      </c>
      <c r="F65" s="22">
        <v>5777</v>
      </c>
      <c r="G65" s="22">
        <v>6071</v>
      </c>
      <c r="H65" s="22">
        <v>32713</v>
      </c>
    </row>
    <row r="68" spans="1:8" x14ac:dyDescent="0.2">
      <c r="A68" s="20" t="s">
        <v>1069</v>
      </c>
      <c r="B68" s="20" t="s">
        <v>1070</v>
      </c>
    </row>
    <row r="69" spans="1:8" x14ac:dyDescent="0.2">
      <c r="A69" s="20" t="s">
        <v>1042</v>
      </c>
      <c r="B69" t="s">
        <v>999</v>
      </c>
      <c r="C69" t="s">
        <v>998</v>
      </c>
    </row>
    <row r="70" spans="1:8" x14ac:dyDescent="0.2">
      <c r="A70" s="21" t="s">
        <v>1002</v>
      </c>
      <c r="B70" s="26">
        <v>0.52473498233215543</v>
      </c>
      <c r="C70" s="26">
        <v>0.47526501766784451</v>
      </c>
    </row>
    <row r="71" spans="1:8" x14ac:dyDescent="0.2">
      <c r="A71" s="21" t="s">
        <v>1001</v>
      </c>
      <c r="B71" s="26">
        <v>0.82890473104342188</v>
      </c>
      <c r="C71" s="26">
        <v>0.17109526895657809</v>
      </c>
    </row>
    <row r="72" spans="1:8" x14ac:dyDescent="0.2">
      <c r="A72" s="21" t="s">
        <v>1000</v>
      </c>
      <c r="B72" s="26">
        <v>0.37160589604344452</v>
      </c>
      <c r="C72" s="26">
        <v>0.62839410395655548</v>
      </c>
    </row>
  </sheetData>
  <mergeCells count="4">
    <mergeCell ref="A11:B11"/>
    <mergeCell ref="A2:B2"/>
    <mergeCell ref="A21:B21"/>
    <mergeCell ref="D21:E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08E0-043D-BA45-B7EF-8CFC4A7E318A}">
  <dimension ref="B1:T38"/>
  <sheetViews>
    <sheetView showGridLines="0" tabSelected="1" zoomScale="110" zoomScaleNormal="110" workbookViewId="0">
      <selection activeCell="L3" sqref="L3"/>
    </sheetView>
  </sheetViews>
  <sheetFormatPr baseColWidth="10" defaultColWidth="0" defaultRowHeight="15" zeroHeight="1" x14ac:dyDescent="0.2"/>
  <cols>
    <col min="1" max="1" width="2.83203125" style="24" customWidth="1"/>
    <col min="2" max="12" width="10.83203125" style="24" customWidth="1"/>
    <col min="13" max="20" width="13.5" style="24" customWidth="1"/>
    <col min="21" max="22" width="10.83203125" style="24" customWidth="1"/>
    <col min="23" max="16384" width="10.83203125" style="24" hidden="1"/>
  </cols>
  <sheetData>
    <row r="1" spans="2:7" x14ac:dyDescent="0.2"/>
    <row r="2" spans="2:7" x14ac:dyDescent="0.2">
      <c r="B2" s="25" t="s">
        <v>1076</v>
      </c>
      <c r="C2" s="25"/>
      <c r="D2" s="25"/>
      <c r="E2" s="25"/>
      <c r="F2" s="25"/>
      <c r="G2" s="25"/>
    </row>
    <row r="3" spans="2:7" x14ac:dyDescent="0.2">
      <c r="B3" s="25"/>
      <c r="C3" s="25"/>
      <c r="D3" s="25"/>
      <c r="E3" s="25"/>
      <c r="F3" s="25"/>
      <c r="G3" s="25"/>
    </row>
    <row r="4" spans="2:7" x14ac:dyDescent="0.2"/>
    <row r="5" spans="2:7" x14ac:dyDescent="0.2"/>
    <row r="6" spans="2:7" x14ac:dyDescent="0.2"/>
    <row r="7" spans="2:7" x14ac:dyDescent="0.2"/>
    <row r="8" spans="2:7" x14ac:dyDescent="0.2"/>
    <row r="9" spans="2:7" x14ac:dyDescent="0.2"/>
    <row r="10" spans="2:7" x14ac:dyDescent="0.2"/>
    <row r="11" spans="2:7" x14ac:dyDescent="0.2"/>
    <row r="12" spans="2:7" x14ac:dyDescent="0.2"/>
    <row r="13" spans="2:7" x14ac:dyDescent="0.2"/>
    <row r="14" spans="2:7" x14ac:dyDescent="0.2"/>
    <row r="15" spans="2:7" x14ac:dyDescent="0.2"/>
    <row r="16" spans="2:7" x14ac:dyDescent="0.2"/>
    <row r="17" spans="13:20" x14ac:dyDescent="0.2"/>
    <row r="18" spans="13:20" x14ac:dyDescent="0.2"/>
    <row r="19" spans="13:20" x14ac:dyDescent="0.2"/>
    <row r="20" spans="13:20" x14ac:dyDescent="0.2">
      <c r="N20" s="31" t="s">
        <v>1081</v>
      </c>
      <c r="O20" s="31" t="s">
        <v>11</v>
      </c>
      <c r="P20" s="31" t="s">
        <v>9</v>
      </c>
      <c r="Q20" s="31" t="s">
        <v>6</v>
      </c>
      <c r="R20" s="31" t="s">
        <v>13</v>
      </c>
      <c r="S20" s="31" t="s">
        <v>10</v>
      </c>
      <c r="T20" s="31" t="s">
        <v>1080</v>
      </c>
    </row>
    <row r="21" spans="13:20" x14ac:dyDescent="0.2">
      <c r="M21" s="40" t="str">
        <f>Analysis!A48</f>
        <v>Cincinnati</v>
      </c>
      <c r="N21" s="33" t="str">
        <f>Analysis!B48</f>
        <v>C0003</v>
      </c>
      <c r="O21">
        <f>Analysis!C48</f>
        <v>891</v>
      </c>
      <c r="P21">
        <f>Analysis!D48</f>
        <v>1332</v>
      </c>
      <c r="Q21">
        <f>Analysis!E48</f>
        <v>1282</v>
      </c>
      <c r="R21">
        <f>Analysis!F48</f>
        <v>739</v>
      </c>
      <c r="S21">
        <f>Analysis!G48</f>
        <v>560</v>
      </c>
      <c r="T21" s="30">
        <f>Analysis!H48</f>
        <v>4804</v>
      </c>
    </row>
    <row r="22" spans="13:20" x14ac:dyDescent="0.2">
      <c r="M22" s="40"/>
      <c r="N22" s="34" t="str">
        <f>Analysis!B49</f>
        <v>C0004</v>
      </c>
      <c r="O22">
        <f>Analysis!C49</f>
        <v>1991</v>
      </c>
      <c r="P22">
        <f>Analysis!D49</f>
        <v>1886</v>
      </c>
      <c r="Q22">
        <f>Analysis!E49</f>
        <v>1206</v>
      </c>
      <c r="R22">
        <f>Analysis!F49</f>
        <v>884</v>
      </c>
      <c r="S22">
        <f>Analysis!G49</f>
        <v>1722</v>
      </c>
      <c r="T22" s="31">
        <f>Analysis!H49</f>
        <v>7689</v>
      </c>
    </row>
    <row r="23" spans="13:20" x14ac:dyDescent="0.2">
      <c r="M23" s="40"/>
      <c r="N23" s="33" t="str">
        <f>Analysis!B50</f>
        <v>C0011</v>
      </c>
      <c r="O23">
        <f>Analysis!C50</f>
        <v>1163</v>
      </c>
      <c r="P23">
        <f>Analysis!D50</f>
        <v>1180</v>
      </c>
      <c r="Q23">
        <f>Analysis!E50</f>
        <v>1616</v>
      </c>
      <c r="R23">
        <f>Analysis!F50</f>
        <v>1043</v>
      </c>
      <c r="S23">
        <f>Analysis!G50</f>
        <v>1747</v>
      </c>
      <c r="T23" s="30">
        <f>Analysis!H50</f>
        <v>6749</v>
      </c>
    </row>
    <row r="24" spans="13:20" x14ac:dyDescent="0.2">
      <c r="M24" s="40"/>
      <c r="N24" s="35" t="str">
        <f>Analysis!B51</f>
        <v>C0012</v>
      </c>
      <c r="O24">
        <f>Analysis!C51</f>
        <v>1438</v>
      </c>
      <c r="P24">
        <f>Analysis!D51</f>
        <v>1616</v>
      </c>
      <c r="Q24">
        <f>Analysis!E51</f>
        <v>866</v>
      </c>
      <c r="R24">
        <f>Analysis!F51</f>
        <v>829</v>
      </c>
      <c r="S24">
        <f>Analysis!G51</f>
        <v>2070</v>
      </c>
      <c r="T24" s="31">
        <f>Analysis!H51</f>
        <v>6819</v>
      </c>
    </row>
    <row r="25" spans="13:20" x14ac:dyDescent="0.2">
      <c r="M25"/>
      <c r="N25" s="37"/>
      <c r="O25"/>
      <c r="P25"/>
      <c r="Q25"/>
      <c r="R25"/>
      <c r="S25"/>
      <c r="T25" s="30"/>
    </row>
    <row r="26" spans="13:20" x14ac:dyDescent="0.2">
      <c r="M26" s="40" t="str">
        <f>Analysis!A53</f>
        <v>Cleveland</v>
      </c>
      <c r="N26" s="36" t="str">
        <f>Analysis!B53</f>
        <v>C0002</v>
      </c>
      <c r="O26">
        <f>Analysis!C53</f>
        <v>1233</v>
      </c>
      <c r="P26">
        <f>Analysis!D53</f>
        <v>223</v>
      </c>
      <c r="Q26">
        <f>Analysis!E53</f>
        <v>1680</v>
      </c>
      <c r="R26">
        <f>Analysis!F53</f>
        <v>990</v>
      </c>
      <c r="S26">
        <f>Analysis!G53</f>
        <v>1508</v>
      </c>
      <c r="T26" s="31">
        <f>Analysis!H53</f>
        <v>5634</v>
      </c>
    </row>
    <row r="27" spans="13:20" x14ac:dyDescent="0.2">
      <c r="M27" s="40"/>
      <c r="N27" s="33" t="str">
        <f>Analysis!B54</f>
        <v>C0007</v>
      </c>
      <c r="O27">
        <f>Analysis!C54</f>
        <v>1598</v>
      </c>
      <c r="P27">
        <f>Analysis!D54</f>
        <v>1907</v>
      </c>
      <c r="Q27">
        <f>Analysis!E54</f>
        <v>869</v>
      </c>
      <c r="R27">
        <f>Analysis!F54</f>
        <v>1426</v>
      </c>
      <c r="S27">
        <f>Analysis!G54</f>
        <v>1416</v>
      </c>
      <c r="T27" s="30">
        <f>Analysis!H54</f>
        <v>7216</v>
      </c>
    </row>
    <row r="28" spans="13:20" x14ac:dyDescent="0.2">
      <c r="M28" s="40"/>
      <c r="N28" s="34" t="str">
        <f>Analysis!B55</f>
        <v>C0008</v>
      </c>
      <c r="O28">
        <f>Analysis!C55</f>
        <v>900</v>
      </c>
      <c r="P28">
        <f>Analysis!D55</f>
        <v>1016</v>
      </c>
      <c r="Q28">
        <f>Analysis!E55</f>
        <v>960</v>
      </c>
      <c r="R28">
        <f>Analysis!F55</f>
        <v>940</v>
      </c>
      <c r="S28">
        <f>Analysis!G55</f>
        <v>1193</v>
      </c>
      <c r="T28" s="31">
        <f>Analysis!H55</f>
        <v>5009</v>
      </c>
    </row>
    <row r="29" spans="13:20" x14ac:dyDescent="0.2">
      <c r="M29" s="40"/>
      <c r="N29" s="33" t="str">
        <f>Analysis!B56</f>
        <v>C0010</v>
      </c>
      <c r="O29">
        <f>Analysis!C56</f>
        <v>900</v>
      </c>
      <c r="P29">
        <f>Analysis!D56</f>
        <v>1470</v>
      </c>
      <c r="Q29">
        <f>Analysis!E56</f>
        <v>1617</v>
      </c>
      <c r="R29">
        <f>Analysis!F56</f>
        <v>1314</v>
      </c>
      <c r="S29">
        <f>Analysis!G56</f>
        <v>941</v>
      </c>
      <c r="T29" s="30">
        <f>Analysis!H56</f>
        <v>6242</v>
      </c>
    </row>
    <row r="30" spans="13:20" x14ac:dyDescent="0.2">
      <c r="M30" s="40"/>
      <c r="N30" s="34" t="str">
        <f>Analysis!B57</f>
        <v>C0013</v>
      </c>
      <c r="O30">
        <f>Analysis!C57</f>
        <v>1255</v>
      </c>
      <c r="P30">
        <f>Analysis!D57</f>
        <v>516</v>
      </c>
      <c r="Q30">
        <f>Analysis!E57</f>
        <v>1874</v>
      </c>
      <c r="R30">
        <f>Analysis!F57</f>
        <v>1863</v>
      </c>
      <c r="S30">
        <f>Analysis!G57</f>
        <v>1722</v>
      </c>
      <c r="T30" s="31">
        <f>Analysis!H57</f>
        <v>7230</v>
      </c>
    </row>
    <row r="31" spans="13:20" x14ac:dyDescent="0.2">
      <c r="M31" s="40"/>
      <c r="N31" s="38" t="str">
        <f>Analysis!B58</f>
        <v>C0015</v>
      </c>
      <c r="O31">
        <f>Analysis!C58</f>
        <v>1138</v>
      </c>
      <c r="P31">
        <f>Analysis!D58</f>
        <v>1898</v>
      </c>
      <c r="Q31">
        <f>Analysis!E58</f>
        <v>1482</v>
      </c>
      <c r="R31">
        <f>Analysis!F58</f>
        <v>846</v>
      </c>
      <c r="S31">
        <f>Analysis!G58</f>
        <v>1154</v>
      </c>
      <c r="T31" s="30">
        <f>Analysis!H58</f>
        <v>6518</v>
      </c>
    </row>
    <row r="32" spans="13:20" x14ac:dyDescent="0.2">
      <c r="M32"/>
      <c r="N32" s="37"/>
      <c r="O32"/>
      <c r="P32"/>
      <c r="Q32"/>
      <c r="R32"/>
      <c r="S32"/>
      <c r="T32" s="30"/>
    </row>
    <row r="33" spans="13:20" x14ac:dyDescent="0.2">
      <c r="M33" s="40" t="str">
        <f>Analysis!A60</f>
        <v>Columbus</v>
      </c>
      <c r="N33" s="39" t="str">
        <f>Analysis!B60</f>
        <v>C0001</v>
      </c>
      <c r="O33">
        <f>Analysis!C60</f>
        <v>1655</v>
      </c>
      <c r="P33">
        <f>Analysis!D60</f>
        <v>805</v>
      </c>
      <c r="Q33">
        <f>Analysis!E60</f>
        <v>2263</v>
      </c>
      <c r="R33">
        <f>Analysis!F60</f>
        <v>987</v>
      </c>
      <c r="S33">
        <f>Analysis!G60</f>
        <v>1075</v>
      </c>
      <c r="T33" s="30">
        <f>Analysis!H60</f>
        <v>6785</v>
      </c>
    </row>
    <row r="34" spans="13:20" x14ac:dyDescent="0.2">
      <c r="M34" s="40"/>
      <c r="N34" s="34" t="str">
        <f>Analysis!B61</f>
        <v>C0005</v>
      </c>
      <c r="O34">
        <f>Analysis!C61</f>
        <v>1104</v>
      </c>
      <c r="P34">
        <f>Analysis!D61</f>
        <v>2280</v>
      </c>
      <c r="Q34">
        <f>Analysis!E61</f>
        <v>1445</v>
      </c>
      <c r="R34">
        <f>Analysis!F61</f>
        <v>1722</v>
      </c>
      <c r="S34">
        <f>Analysis!G61</f>
        <v>1196</v>
      </c>
      <c r="T34" s="31">
        <f>Analysis!H61</f>
        <v>7747</v>
      </c>
    </row>
    <row r="35" spans="13:20" x14ac:dyDescent="0.2">
      <c r="M35" s="40"/>
      <c r="N35" s="33" t="str">
        <f>Analysis!B62</f>
        <v>C0006</v>
      </c>
      <c r="O35">
        <f>Analysis!C62</f>
        <v>372</v>
      </c>
      <c r="P35">
        <f>Analysis!D62</f>
        <v>1818</v>
      </c>
      <c r="Q35">
        <f>Analysis!E62</f>
        <v>1346</v>
      </c>
      <c r="R35">
        <f>Analysis!F62</f>
        <v>1156</v>
      </c>
      <c r="S35">
        <f>Analysis!G62</f>
        <v>1484</v>
      </c>
      <c r="T35" s="30">
        <f>Analysis!H62</f>
        <v>6176</v>
      </c>
    </row>
    <row r="36" spans="13:20" x14ac:dyDescent="0.2">
      <c r="M36" s="40"/>
      <c r="N36" s="34" t="str">
        <f>Analysis!B63</f>
        <v>C0009</v>
      </c>
      <c r="O36">
        <f>Analysis!C63</f>
        <v>1415</v>
      </c>
      <c r="P36">
        <f>Analysis!D63</f>
        <v>1271</v>
      </c>
      <c r="Q36">
        <f>Analysis!E63</f>
        <v>1214</v>
      </c>
      <c r="R36">
        <f>Analysis!F63</f>
        <v>1135</v>
      </c>
      <c r="S36">
        <f>Analysis!G63</f>
        <v>1566</v>
      </c>
      <c r="T36" s="31">
        <f>Analysis!H63</f>
        <v>6601</v>
      </c>
    </row>
    <row r="37" spans="13:20" x14ac:dyDescent="0.2">
      <c r="M37" s="40"/>
      <c r="N37" s="33" t="str">
        <f>Analysis!B64</f>
        <v>C0014</v>
      </c>
      <c r="O37">
        <f>Analysis!C64</f>
        <v>1362</v>
      </c>
      <c r="P37">
        <f>Analysis!D64</f>
        <v>1363</v>
      </c>
      <c r="Q37">
        <f>Analysis!E64</f>
        <v>1152</v>
      </c>
      <c r="R37">
        <f>Analysis!F64</f>
        <v>777</v>
      </c>
      <c r="S37">
        <f>Analysis!G64</f>
        <v>750</v>
      </c>
      <c r="T37" s="30">
        <f>Analysis!H64</f>
        <v>5404</v>
      </c>
    </row>
    <row r="38" spans="13:20" x14ac:dyDescent="0.2">
      <c r="N38" s="32"/>
    </row>
  </sheetData>
  <mergeCells count="4">
    <mergeCell ref="B2:G3"/>
    <mergeCell ref="M21:M24"/>
    <mergeCell ref="M26:M31"/>
    <mergeCell ref="M33:M37"/>
  </mergeCells>
  <conditionalFormatting sqref="O21:S37">
    <cfRule type="dataBar" priority="1">
      <dataBar>
        <cfvo type="min"/>
        <cfvo type="max"/>
        <color theme="5" tint="0.59999389629810485"/>
      </dataBar>
      <extLst>
        <ext xmlns:x14="http://schemas.microsoft.com/office/spreadsheetml/2009/9/main" uri="{B025F937-C7B1-47D3-B67F-A62EFF666E3E}">
          <x14:id>{768E250C-CB2A-9144-BF64-72CF02B03846}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68E250C-CB2A-9144-BF64-72CF02B03846}">
            <x14:dataBar minLength="0" maxLength="100" border="1" negativeBarBorderColorSameAsPositive="0">
              <x14:cfvo type="autoMin"/>
              <x14:cfvo type="autoMax"/>
              <x14:borderColor rgb="FF638EC6"/>
              <x14:negativeFillColor rgb="FFFF0000"/>
              <x14:negativeBorderColor rgb="FFFF0000"/>
              <x14:axisColor rgb="FF000000"/>
            </x14:dataBar>
          </x14:cfRule>
          <xm:sqref>O21:S37</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W1003"/>
  <sheetViews>
    <sheetView topLeftCell="H1" zoomScale="115" zoomScaleNormal="115" workbookViewId="0">
      <selection activeCell="R6" sqref="R6"/>
    </sheetView>
  </sheetViews>
  <sheetFormatPr baseColWidth="10" defaultColWidth="8.83203125" defaultRowHeight="15" x14ac:dyDescent="0.2"/>
  <cols>
    <col min="1" max="1" width="3.1640625" customWidth="1"/>
    <col min="2" max="2" width="14.6640625" customWidth="1"/>
    <col min="3" max="3" width="12.83203125" customWidth="1"/>
    <col min="4" max="4" width="16.6640625" customWidth="1"/>
    <col min="5" max="5" width="15" customWidth="1"/>
    <col min="6" max="6" width="16.1640625" customWidth="1"/>
    <col min="7" max="7" width="17.1640625" customWidth="1"/>
    <col min="8" max="8" width="18.33203125" customWidth="1"/>
    <col min="9" max="9" width="17.1640625" customWidth="1"/>
    <col min="10" max="12" width="15.5" customWidth="1"/>
    <col min="13" max="16" width="7.5" customWidth="1"/>
    <col min="17" max="17" width="14.6640625" customWidth="1"/>
    <col min="20" max="20" width="10.6640625" customWidth="1"/>
  </cols>
  <sheetData>
    <row r="1" spans="2:23" s="4" customFormat="1" ht="48" customHeight="1" x14ac:dyDescent="0.2">
      <c r="B1" s="5" t="s">
        <v>1003</v>
      </c>
    </row>
    <row r="2" spans="2:23" x14ac:dyDescent="0.2">
      <c r="R2" s="1"/>
    </row>
    <row r="3" spans="2:23" x14ac:dyDescent="0.2">
      <c r="B3" s="14" t="s">
        <v>25</v>
      </c>
      <c r="C3" s="14" t="s">
        <v>0</v>
      </c>
      <c r="D3" s="15" t="s">
        <v>1</v>
      </c>
      <c r="E3" s="16" t="s">
        <v>3</v>
      </c>
      <c r="F3" s="16" t="s">
        <v>4</v>
      </c>
      <c r="G3" s="14" t="s">
        <v>2</v>
      </c>
      <c r="H3" s="14" t="s">
        <v>994</v>
      </c>
      <c r="I3" t="s">
        <v>1036</v>
      </c>
      <c r="J3" t="s">
        <v>1037</v>
      </c>
      <c r="K3" t="s">
        <v>1038</v>
      </c>
      <c r="L3" t="s">
        <v>1039</v>
      </c>
      <c r="M3" t="s">
        <v>1071</v>
      </c>
      <c r="N3" t="s">
        <v>1072</v>
      </c>
      <c r="O3" t="s">
        <v>996</v>
      </c>
      <c r="P3" t="s">
        <v>997</v>
      </c>
      <c r="T3" s="8" t="s">
        <v>0</v>
      </c>
      <c r="U3" s="9" t="s">
        <v>995</v>
      </c>
      <c r="V3" s="9" t="s">
        <v>996</v>
      </c>
      <c r="W3" s="10" t="s">
        <v>997</v>
      </c>
    </row>
    <row r="4" spans="2:23"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s="22" t="str">
        <f>IF(calls[[#This Row],[Rating rounded]]&gt;=4,"Happy")</f>
        <v>Happy</v>
      </c>
      <c r="N4" s="22" t="str">
        <f>_xlfn.XLOOKUP(calls[[#This Row],[Customer ID]],customers[Customer ID],customers[Gedner])</f>
        <v>Male</v>
      </c>
      <c r="O4" s="22">
        <f>_xlfn.XLOOKUP(calls[[#This Row],[Customer ID]],customers[Customer ID],customers[Age])</f>
        <v>26</v>
      </c>
      <c r="P4" s="22" t="str">
        <f>_xlfn.XLOOKUP(calls[[#This Row],[Customer ID]],customers[Customer ID],customers[City])</f>
        <v>Cincinnati</v>
      </c>
      <c r="T4" s="6" t="s">
        <v>17</v>
      </c>
      <c r="U4" s="3" t="s">
        <v>998</v>
      </c>
      <c r="V4" s="2">
        <v>41</v>
      </c>
      <c r="W4" s="7" t="s">
        <v>1000</v>
      </c>
    </row>
    <row r="5" spans="2:23"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s="22" t="b">
        <f>IF(calls[[#This Row],[Rating rounded]]&gt;=4,"Happy")</f>
        <v>0</v>
      </c>
      <c r="N5" s="22" t="str">
        <f>_xlfn.XLOOKUP(calls[[#This Row],[Customer ID]],customers[Customer ID],customers[Gedner])</f>
        <v>Male</v>
      </c>
      <c r="O5" s="22">
        <f>_xlfn.XLOOKUP(calls[[#This Row],[Customer ID]],customers[Customer ID],customers[Age])</f>
        <v>36</v>
      </c>
      <c r="P5" s="22" t="str">
        <f>_xlfn.XLOOKUP(calls[[#This Row],[Customer ID]],customers[Customer ID],customers[City])</f>
        <v>Cincinnati</v>
      </c>
      <c r="T5" s="6" t="s">
        <v>24</v>
      </c>
      <c r="U5" s="3" t="s">
        <v>998</v>
      </c>
      <c r="V5" s="2">
        <v>31</v>
      </c>
      <c r="W5" s="7" t="s">
        <v>1001</v>
      </c>
    </row>
    <row r="6" spans="2:23"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s="22" t="str">
        <f>IF(calls[[#This Row],[Rating rounded]]&gt;=4,"Happy")</f>
        <v>Happy</v>
      </c>
      <c r="N6" s="22" t="str">
        <f>_xlfn.XLOOKUP(calls[[#This Row],[Customer ID]],customers[Customer ID],customers[Gedner])</f>
        <v>Male</v>
      </c>
      <c r="O6" s="22">
        <f>_xlfn.XLOOKUP(calls[[#This Row],[Customer ID]],customers[Customer ID],customers[Age])</f>
        <v>37</v>
      </c>
      <c r="P6" s="22" t="str">
        <f>_xlfn.XLOOKUP(calls[[#This Row],[Customer ID]],customers[Customer ID],customers[City])</f>
        <v>Columbus</v>
      </c>
      <c r="R6">
        <f>COUNTIF(calls[happy_calls],"Happy")</f>
        <v>735</v>
      </c>
      <c r="T6" s="6" t="s">
        <v>20</v>
      </c>
      <c r="U6" s="3" t="s">
        <v>998</v>
      </c>
      <c r="V6" s="2">
        <v>26</v>
      </c>
      <c r="W6" s="7" t="s">
        <v>1002</v>
      </c>
    </row>
    <row r="7" spans="2:23"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s="22" t="b">
        <f>IF(calls[[#This Row],[Rating rounded]]&gt;=4,"Happy")</f>
        <v>0</v>
      </c>
      <c r="N7" s="22" t="str">
        <f>_xlfn.XLOOKUP(calls[[#This Row],[Customer ID]],customers[Customer ID],customers[Gedner])</f>
        <v>Female</v>
      </c>
      <c r="O7" s="22">
        <f>_xlfn.XLOOKUP(calls[[#This Row],[Customer ID]],customers[Customer ID],customers[Age])</f>
        <v>38</v>
      </c>
      <c r="P7" s="22" t="str">
        <f>_xlfn.XLOOKUP(calls[[#This Row],[Customer ID]],customers[Customer ID],customers[City])</f>
        <v>Columbus</v>
      </c>
      <c r="T7" s="6" t="s">
        <v>12</v>
      </c>
      <c r="U7" s="3" t="s">
        <v>998</v>
      </c>
      <c r="V7" s="2">
        <v>36</v>
      </c>
      <c r="W7" s="7" t="s">
        <v>1002</v>
      </c>
    </row>
    <row r="8" spans="2:23"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s="22" t="b">
        <f>IF(calls[[#This Row],[Rating rounded]]&gt;=4,"Happy")</f>
        <v>0</v>
      </c>
      <c r="N8" s="22" t="str">
        <f>_xlfn.XLOOKUP(calls[[#This Row],[Customer ID]],customers[Customer ID],customers[Gedner])</f>
        <v>Female</v>
      </c>
      <c r="O8" s="22">
        <f>_xlfn.XLOOKUP(calls[[#This Row],[Customer ID]],customers[Customer ID],customers[Age])</f>
        <v>30</v>
      </c>
      <c r="P8" s="22" t="str">
        <f>_xlfn.XLOOKUP(calls[[#This Row],[Customer ID]],customers[Customer ID],customers[City])</f>
        <v>Cincinnati</v>
      </c>
      <c r="T8" s="6" t="s">
        <v>23</v>
      </c>
      <c r="U8" s="3" t="s">
        <v>998</v>
      </c>
      <c r="V8" s="2">
        <v>37</v>
      </c>
      <c r="W8" s="7" t="s">
        <v>1000</v>
      </c>
    </row>
    <row r="9" spans="2:23"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s="22" t="str">
        <f>IF(calls[[#This Row],[Rating rounded]]&gt;=4,"Happy")</f>
        <v>Happy</v>
      </c>
      <c r="N9" s="22" t="str">
        <f>_xlfn.XLOOKUP(calls[[#This Row],[Customer ID]],customers[Customer ID],customers[Gedner])</f>
        <v>Female</v>
      </c>
      <c r="O9" s="22">
        <f>_xlfn.XLOOKUP(calls[[#This Row],[Customer ID]],customers[Customer ID],customers[Age])</f>
        <v>30</v>
      </c>
      <c r="P9" s="22" t="str">
        <f>_xlfn.XLOOKUP(calls[[#This Row],[Customer ID]],customers[Customer ID],customers[City])</f>
        <v>Cincinnati</v>
      </c>
      <c r="T9" s="6" t="s">
        <v>7</v>
      </c>
      <c r="U9" s="3" t="s">
        <v>998</v>
      </c>
      <c r="V9" s="2">
        <v>23</v>
      </c>
      <c r="W9" s="7" t="s">
        <v>1000</v>
      </c>
    </row>
    <row r="10" spans="2:23"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s="22" t="str">
        <f>IF(calls[[#This Row],[Rating rounded]]&gt;=4,"Happy")</f>
        <v>Happy</v>
      </c>
      <c r="N10" s="22" t="str">
        <f>_xlfn.XLOOKUP(calls[[#This Row],[Customer ID]],customers[Customer ID],customers[Gedner])</f>
        <v>Female</v>
      </c>
      <c r="O10" s="22">
        <f>_xlfn.XLOOKUP(calls[[#This Row],[Customer ID]],customers[Customer ID],customers[Age])</f>
        <v>22</v>
      </c>
      <c r="P10" s="22" t="str">
        <f>_xlfn.XLOOKUP(calls[[#This Row],[Customer ID]],customers[Customer ID],customers[City])</f>
        <v>Cleveland</v>
      </c>
      <c r="T10" s="6" t="s">
        <v>15</v>
      </c>
      <c r="U10" s="3" t="s">
        <v>999</v>
      </c>
      <c r="V10" s="2">
        <v>22</v>
      </c>
      <c r="W10" s="7" t="s">
        <v>1001</v>
      </c>
    </row>
    <row r="11" spans="2:23"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s="22" t="str">
        <f>IF(calls[[#This Row],[Rating rounded]]&gt;=4,"Happy")</f>
        <v>Happy</v>
      </c>
      <c r="N11" s="22" t="str">
        <f>_xlfn.XLOOKUP(calls[[#This Row],[Customer ID]],customers[Customer ID],customers[Gedner])</f>
        <v>Male</v>
      </c>
      <c r="O11" s="22">
        <f>_xlfn.XLOOKUP(calls[[#This Row],[Customer ID]],customers[Customer ID],customers[Age])</f>
        <v>26</v>
      </c>
      <c r="P11" s="22" t="str">
        <f>_xlfn.XLOOKUP(calls[[#This Row],[Customer ID]],customers[Customer ID],customers[City])</f>
        <v>Cincinnati</v>
      </c>
      <c r="T11" s="6" t="s">
        <v>5</v>
      </c>
      <c r="U11" s="3" t="s">
        <v>999</v>
      </c>
      <c r="V11" s="2">
        <v>42</v>
      </c>
      <c r="W11" s="7" t="s">
        <v>1001</v>
      </c>
    </row>
    <row r="12" spans="2:23"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s="22" t="str">
        <f>IF(calls[[#This Row],[Rating rounded]]&gt;=4,"Happy")</f>
        <v>Happy</v>
      </c>
      <c r="N12" s="22" t="str">
        <f>_xlfn.XLOOKUP(calls[[#This Row],[Customer ID]],customers[Customer ID],customers[Gedner])</f>
        <v>Male</v>
      </c>
      <c r="O12" s="22">
        <f>_xlfn.XLOOKUP(calls[[#This Row],[Customer ID]],customers[Customer ID],customers[Age])</f>
        <v>37</v>
      </c>
      <c r="P12" s="22" t="str">
        <f>_xlfn.XLOOKUP(calls[[#This Row],[Customer ID]],customers[Customer ID],customers[City])</f>
        <v>Columbus</v>
      </c>
      <c r="T12" s="6" t="s">
        <v>22</v>
      </c>
      <c r="U12" s="3" t="s">
        <v>999</v>
      </c>
      <c r="V12" s="2">
        <v>25</v>
      </c>
      <c r="W12" s="7" t="s">
        <v>1000</v>
      </c>
    </row>
    <row r="13" spans="2:23"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s="22" t="b">
        <f>IF(calls[[#This Row],[Rating rounded]]&gt;=4,"Happy")</f>
        <v>0</v>
      </c>
      <c r="N13" s="22" t="str">
        <f>_xlfn.XLOOKUP(calls[[#This Row],[Customer ID]],customers[Customer ID],customers[Gedner])</f>
        <v>Female</v>
      </c>
      <c r="O13" s="22">
        <f>_xlfn.XLOOKUP(calls[[#This Row],[Customer ID]],customers[Customer ID],customers[Age])</f>
        <v>30</v>
      </c>
      <c r="P13" s="22" t="str">
        <f>_xlfn.XLOOKUP(calls[[#This Row],[Customer ID]],customers[Customer ID],customers[City])</f>
        <v>Cleveland</v>
      </c>
      <c r="T13" s="6" t="s">
        <v>18</v>
      </c>
      <c r="U13" s="3" t="s">
        <v>999</v>
      </c>
      <c r="V13" s="2">
        <v>30</v>
      </c>
      <c r="W13" s="7" t="s">
        <v>1001</v>
      </c>
    </row>
    <row r="14" spans="2:23"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s="22" t="str">
        <f>IF(calls[[#This Row],[Rating rounded]]&gt;=4,"Happy")</f>
        <v>Happy</v>
      </c>
      <c r="N14" s="22" t="str">
        <f>_xlfn.XLOOKUP(calls[[#This Row],[Customer ID]],customers[Customer ID],customers[Gedner])</f>
        <v>Female</v>
      </c>
      <c r="O14" s="22">
        <f>_xlfn.XLOOKUP(calls[[#This Row],[Customer ID]],customers[Customer ID],customers[Age])</f>
        <v>30</v>
      </c>
      <c r="P14" s="22" t="str">
        <f>_xlfn.XLOOKUP(calls[[#This Row],[Customer ID]],customers[Customer ID],customers[City])</f>
        <v>Cincinnati</v>
      </c>
      <c r="T14" s="6" t="s">
        <v>8</v>
      </c>
      <c r="U14" s="3" t="s">
        <v>999</v>
      </c>
      <c r="V14" s="2">
        <v>30</v>
      </c>
      <c r="W14" s="7" t="s">
        <v>1002</v>
      </c>
    </row>
    <row r="15" spans="2:23"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s="22" t="b">
        <f>IF(calls[[#This Row],[Rating rounded]]&gt;=4,"Happy")</f>
        <v>0</v>
      </c>
      <c r="N15" s="22" t="str">
        <f>_xlfn.XLOOKUP(calls[[#This Row],[Customer ID]],customers[Customer ID],customers[Gedner])</f>
        <v>Female</v>
      </c>
      <c r="O15" s="22">
        <f>_xlfn.XLOOKUP(calls[[#This Row],[Customer ID]],customers[Customer ID],customers[Age])</f>
        <v>37</v>
      </c>
      <c r="P15" s="22" t="str">
        <f>_xlfn.XLOOKUP(calls[[#This Row],[Customer ID]],customers[Customer ID],customers[City])</f>
        <v>Cleveland</v>
      </c>
      <c r="T15" s="6" t="s">
        <v>16</v>
      </c>
      <c r="U15" s="3" t="s">
        <v>999</v>
      </c>
      <c r="V15" s="2">
        <v>28</v>
      </c>
      <c r="W15" s="7" t="s">
        <v>1002</v>
      </c>
    </row>
    <row r="16" spans="2:23"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s="22" t="str">
        <f>IF(calls[[#This Row],[Rating rounded]]&gt;=4,"Happy")</f>
        <v>Happy</v>
      </c>
      <c r="N16" s="22" t="str">
        <f>_xlfn.XLOOKUP(calls[[#This Row],[Customer ID]],customers[Customer ID],customers[Gedner])</f>
        <v>Male</v>
      </c>
      <c r="O16" s="22">
        <f>_xlfn.XLOOKUP(calls[[#This Row],[Customer ID]],customers[Customer ID],customers[Age])</f>
        <v>31</v>
      </c>
      <c r="P16" s="22" t="str">
        <f>_xlfn.XLOOKUP(calls[[#This Row],[Customer ID]],customers[Customer ID],customers[City])</f>
        <v>Cleveland</v>
      </c>
      <c r="T16" s="6" t="s">
        <v>14</v>
      </c>
      <c r="U16" s="3" t="s">
        <v>999</v>
      </c>
      <c r="V16" s="2">
        <v>37</v>
      </c>
      <c r="W16" s="7" t="s">
        <v>1001</v>
      </c>
    </row>
    <row r="17" spans="2:23"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s="22" t="str">
        <f>IF(calls[[#This Row],[Rating rounded]]&gt;=4,"Happy")</f>
        <v>Happy</v>
      </c>
      <c r="N17" s="22" t="str">
        <f>_xlfn.XLOOKUP(calls[[#This Row],[Customer ID]],customers[Customer ID],customers[Gedner])</f>
        <v>Female</v>
      </c>
      <c r="O17" s="22">
        <f>_xlfn.XLOOKUP(calls[[#This Row],[Customer ID]],customers[Customer ID],customers[Age])</f>
        <v>30</v>
      </c>
      <c r="P17" s="22" t="str">
        <f>_xlfn.XLOOKUP(calls[[#This Row],[Customer ID]],customers[Customer ID],customers[City])</f>
        <v>Cleveland</v>
      </c>
      <c r="T17" s="6" t="s">
        <v>21</v>
      </c>
      <c r="U17" s="3" t="s">
        <v>999</v>
      </c>
      <c r="V17" s="2">
        <v>38</v>
      </c>
      <c r="W17" s="7" t="s">
        <v>1000</v>
      </c>
    </row>
    <row r="18" spans="2:23"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s="22" t="str">
        <f>IF(calls[[#This Row],[Rating rounded]]&gt;=4,"Happy")</f>
        <v>Happy</v>
      </c>
      <c r="N18" s="22" t="str">
        <f>_xlfn.XLOOKUP(calls[[#This Row],[Customer ID]],customers[Customer ID],customers[Gedner])</f>
        <v>Female</v>
      </c>
      <c r="O18" s="22">
        <f>_xlfn.XLOOKUP(calls[[#This Row],[Customer ID]],customers[Customer ID],customers[Age])</f>
        <v>37</v>
      </c>
      <c r="P18" s="22" t="str">
        <f>_xlfn.XLOOKUP(calls[[#This Row],[Customer ID]],customers[Customer ID],customers[City])</f>
        <v>Cleveland</v>
      </c>
      <c r="T18" s="11" t="s">
        <v>19</v>
      </c>
      <c r="U18" s="19" t="s">
        <v>999</v>
      </c>
      <c r="V18" s="12">
        <v>43</v>
      </c>
      <c r="W18" s="13" t="s">
        <v>1001</v>
      </c>
    </row>
    <row r="19" spans="2:23"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s="22" t="str">
        <f>IF(calls[[#This Row],[Rating rounded]]&gt;=4,"Happy")</f>
        <v>Happy</v>
      </c>
      <c r="N19" s="22" t="str">
        <f>_xlfn.XLOOKUP(calls[[#This Row],[Customer ID]],customers[Customer ID],customers[Gedner])</f>
        <v>Female</v>
      </c>
      <c r="O19" s="22">
        <f>_xlfn.XLOOKUP(calls[[#This Row],[Customer ID]],customers[Customer ID],customers[Age])</f>
        <v>30</v>
      </c>
      <c r="P19" s="22" t="str">
        <f>_xlfn.XLOOKUP(calls[[#This Row],[Customer ID]],customers[Customer ID],customers[City])</f>
        <v>Cleveland</v>
      </c>
    </row>
    <row r="20" spans="2:23"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s="22" t="str">
        <f>IF(calls[[#This Row],[Rating rounded]]&gt;=4,"Happy")</f>
        <v>Happy</v>
      </c>
      <c r="N20" s="22" t="str">
        <f>_xlfn.XLOOKUP(calls[[#This Row],[Customer ID]],customers[Customer ID],customers[Gedner])</f>
        <v>Female</v>
      </c>
      <c r="O20" s="22">
        <f>_xlfn.XLOOKUP(calls[[#This Row],[Customer ID]],customers[Customer ID],customers[Age])</f>
        <v>30</v>
      </c>
      <c r="P20" s="22" t="str">
        <f>_xlfn.XLOOKUP(calls[[#This Row],[Customer ID]],customers[Customer ID],customers[City])</f>
        <v>Cleveland</v>
      </c>
    </row>
    <row r="21" spans="2:23"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s="22" t="str">
        <f>IF(calls[[#This Row],[Rating rounded]]&gt;=4,"Happy")</f>
        <v>Happy</v>
      </c>
      <c r="N21" s="22" t="str">
        <f>_xlfn.XLOOKUP(calls[[#This Row],[Customer ID]],customers[Customer ID],customers[Gedner])</f>
        <v>Female</v>
      </c>
      <c r="O21" s="22">
        <f>_xlfn.XLOOKUP(calls[[#This Row],[Customer ID]],customers[Customer ID],customers[Age])</f>
        <v>25</v>
      </c>
      <c r="P21" s="22" t="str">
        <f>_xlfn.XLOOKUP(calls[[#This Row],[Customer ID]],customers[Customer ID],customers[City])</f>
        <v>Columbus</v>
      </c>
    </row>
    <row r="22" spans="2:23"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s="22" t="str">
        <f>IF(calls[[#This Row],[Rating rounded]]&gt;=4,"Happy")</f>
        <v>Happy</v>
      </c>
      <c r="N22" s="22" t="str">
        <f>_xlfn.XLOOKUP(calls[[#This Row],[Customer ID]],customers[Customer ID],customers[Gedner])</f>
        <v>Female</v>
      </c>
      <c r="O22" s="22">
        <f>_xlfn.XLOOKUP(calls[[#This Row],[Customer ID]],customers[Customer ID],customers[Age])</f>
        <v>22</v>
      </c>
      <c r="P22" s="22" t="str">
        <f>_xlfn.XLOOKUP(calls[[#This Row],[Customer ID]],customers[Customer ID],customers[City])</f>
        <v>Cleveland</v>
      </c>
    </row>
    <row r="23" spans="2:23"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s="22" t="str">
        <f>IF(calls[[#This Row],[Rating rounded]]&gt;=4,"Happy")</f>
        <v>Happy</v>
      </c>
      <c r="N23" s="22" t="str">
        <f>_xlfn.XLOOKUP(calls[[#This Row],[Customer ID]],customers[Customer ID],customers[Gedner])</f>
        <v>Male</v>
      </c>
      <c r="O23" s="22">
        <f>_xlfn.XLOOKUP(calls[[#This Row],[Customer ID]],customers[Customer ID],customers[Age])</f>
        <v>23</v>
      </c>
      <c r="P23" s="22" t="str">
        <f>_xlfn.XLOOKUP(calls[[#This Row],[Customer ID]],customers[Customer ID],customers[City])</f>
        <v>Columbus</v>
      </c>
    </row>
    <row r="24" spans="2:23"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s="22" t="str">
        <f>IF(calls[[#This Row],[Rating rounded]]&gt;=4,"Happy")</f>
        <v>Happy</v>
      </c>
      <c r="N24" s="22" t="str">
        <f>_xlfn.XLOOKUP(calls[[#This Row],[Customer ID]],customers[Customer ID],customers[Gedner])</f>
        <v>Male</v>
      </c>
      <c r="O24" s="22">
        <f>_xlfn.XLOOKUP(calls[[#This Row],[Customer ID]],customers[Customer ID],customers[Age])</f>
        <v>36</v>
      </c>
      <c r="P24" s="22" t="str">
        <f>_xlfn.XLOOKUP(calls[[#This Row],[Customer ID]],customers[Customer ID],customers[City])</f>
        <v>Cincinnati</v>
      </c>
    </row>
    <row r="25" spans="2:23"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s="22" t="str">
        <f>IF(calls[[#This Row],[Rating rounded]]&gt;=4,"Happy")</f>
        <v>Happy</v>
      </c>
      <c r="N25" s="22" t="str">
        <f>_xlfn.XLOOKUP(calls[[#This Row],[Customer ID]],customers[Customer ID],customers[Gedner])</f>
        <v>Male</v>
      </c>
      <c r="O25" s="22">
        <f>_xlfn.XLOOKUP(calls[[#This Row],[Customer ID]],customers[Customer ID],customers[Age])</f>
        <v>36</v>
      </c>
      <c r="P25" s="22" t="str">
        <f>_xlfn.XLOOKUP(calls[[#This Row],[Customer ID]],customers[Customer ID],customers[City])</f>
        <v>Cincinnati</v>
      </c>
    </row>
    <row r="26" spans="2:23"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s="22" t="str">
        <f>IF(calls[[#This Row],[Rating rounded]]&gt;=4,"Happy")</f>
        <v>Happy</v>
      </c>
      <c r="N26" s="22" t="str">
        <f>_xlfn.XLOOKUP(calls[[#This Row],[Customer ID]],customers[Customer ID],customers[Gedner])</f>
        <v>Male</v>
      </c>
      <c r="O26" s="22">
        <f>_xlfn.XLOOKUP(calls[[#This Row],[Customer ID]],customers[Customer ID],customers[Age])</f>
        <v>26</v>
      </c>
      <c r="P26" s="22" t="str">
        <f>_xlfn.XLOOKUP(calls[[#This Row],[Customer ID]],customers[Customer ID],customers[City])</f>
        <v>Cincinnati</v>
      </c>
    </row>
    <row r="27" spans="2:23"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s="22" t="b">
        <f>IF(calls[[#This Row],[Rating rounded]]&gt;=4,"Happy")</f>
        <v>0</v>
      </c>
      <c r="N27" s="22" t="str">
        <f>_xlfn.XLOOKUP(calls[[#This Row],[Customer ID]],customers[Customer ID],customers[Gedner])</f>
        <v>Female</v>
      </c>
      <c r="O27" s="22">
        <f>_xlfn.XLOOKUP(calls[[#This Row],[Customer ID]],customers[Customer ID],customers[Age])</f>
        <v>43</v>
      </c>
      <c r="P27" s="22" t="str">
        <f>_xlfn.XLOOKUP(calls[[#This Row],[Customer ID]],customers[Customer ID],customers[City])</f>
        <v>Cleveland</v>
      </c>
    </row>
    <row r="28" spans="2:23"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s="22" t="b">
        <f>IF(calls[[#This Row],[Rating rounded]]&gt;=4,"Happy")</f>
        <v>0</v>
      </c>
      <c r="N28" s="22" t="str">
        <f>_xlfn.XLOOKUP(calls[[#This Row],[Customer ID]],customers[Customer ID],customers[Gedner])</f>
        <v>Female</v>
      </c>
      <c r="O28" s="22">
        <f>_xlfn.XLOOKUP(calls[[#This Row],[Customer ID]],customers[Customer ID],customers[Age])</f>
        <v>30</v>
      </c>
      <c r="P28" s="22" t="str">
        <f>_xlfn.XLOOKUP(calls[[#This Row],[Customer ID]],customers[Customer ID],customers[City])</f>
        <v>Cleveland</v>
      </c>
    </row>
    <row r="29" spans="2:23" x14ac:dyDescent="0.2">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s="22" t="str">
        <f>IF(calls[[#This Row],[Rating rounded]]&gt;=4,"Happy")</f>
        <v>Happy</v>
      </c>
      <c r="N29" s="22" t="str">
        <f>_xlfn.XLOOKUP(calls[[#This Row],[Customer ID]],customers[Customer ID],customers[Gedner])</f>
        <v>Female</v>
      </c>
      <c r="O29" s="22">
        <f>_xlfn.XLOOKUP(calls[[#This Row],[Customer ID]],customers[Customer ID],customers[Age])</f>
        <v>28</v>
      </c>
      <c r="P29" s="22" t="str">
        <f>_xlfn.XLOOKUP(calls[[#This Row],[Customer ID]],customers[Customer ID],customers[City])</f>
        <v>Cincinnati</v>
      </c>
    </row>
    <row r="30" spans="2:23" x14ac:dyDescent="0.2">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s="22" t="str">
        <f>IF(calls[[#This Row],[Rating rounded]]&gt;=4,"Happy")</f>
        <v>Happy</v>
      </c>
      <c r="N30" s="22" t="str">
        <f>_xlfn.XLOOKUP(calls[[#This Row],[Customer ID]],customers[Customer ID],customers[Gedner])</f>
        <v>Male</v>
      </c>
      <c r="O30" s="22">
        <f>_xlfn.XLOOKUP(calls[[#This Row],[Customer ID]],customers[Customer ID],customers[Age])</f>
        <v>31</v>
      </c>
      <c r="P30" s="22" t="str">
        <f>_xlfn.XLOOKUP(calls[[#This Row],[Customer ID]],customers[Customer ID],customers[City])</f>
        <v>Cleveland</v>
      </c>
    </row>
    <row r="31" spans="2:23" x14ac:dyDescent="0.2">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s="22" t="str">
        <f>IF(calls[[#This Row],[Rating rounded]]&gt;=4,"Happy")</f>
        <v>Happy</v>
      </c>
      <c r="N31" s="22" t="str">
        <f>_xlfn.XLOOKUP(calls[[#This Row],[Customer ID]],customers[Customer ID],customers[Gedner])</f>
        <v>Female</v>
      </c>
      <c r="O31" s="22">
        <f>_xlfn.XLOOKUP(calls[[#This Row],[Customer ID]],customers[Customer ID],customers[Age])</f>
        <v>30</v>
      </c>
      <c r="P31" s="22" t="str">
        <f>_xlfn.XLOOKUP(calls[[#This Row],[Customer ID]],customers[Customer ID],customers[City])</f>
        <v>Cincinnati</v>
      </c>
    </row>
    <row r="32" spans="2:23" x14ac:dyDescent="0.2">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s="22" t="b">
        <f>IF(calls[[#This Row],[Rating rounded]]&gt;=4,"Happy")</f>
        <v>0</v>
      </c>
      <c r="N32" s="22" t="str">
        <f>_xlfn.XLOOKUP(calls[[#This Row],[Customer ID]],customers[Customer ID],customers[Gedner])</f>
        <v>Female</v>
      </c>
      <c r="O32" s="22">
        <f>_xlfn.XLOOKUP(calls[[#This Row],[Customer ID]],customers[Customer ID],customers[Age])</f>
        <v>25</v>
      </c>
      <c r="P32" s="22" t="str">
        <f>_xlfn.XLOOKUP(calls[[#This Row],[Customer ID]],customers[Customer ID],customers[City])</f>
        <v>Columbus</v>
      </c>
    </row>
    <row r="33" spans="2:16" x14ac:dyDescent="0.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s="22" t="str">
        <f>IF(calls[[#This Row],[Rating rounded]]&gt;=4,"Happy")</f>
        <v>Happy</v>
      </c>
      <c r="N33" s="22" t="str">
        <f>_xlfn.XLOOKUP(calls[[#This Row],[Customer ID]],customers[Customer ID],customers[Gedner])</f>
        <v>Female</v>
      </c>
      <c r="O33" s="22">
        <f>_xlfn.XLOOKUP(calls[[#This Row],[Customer ID]],customers[Customer ID],customers[Age])</f>
        <v>43</v>
      </c>
      <c r="P33" s="22" t="str">
        <f>_xlfn.XLOOKUP(calls[[#This Row],[Customer ID]],customers[Customer ID],customers[City])</f>
        <v>Cleveland</v>
      </c>
    </row>
    <row r="34" spans="2:16" x14ac:dyDescent="0.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s="22" t="str">
        <f>IF(calls[[#This Row],[Rating rounded]]&gt;=4,"Happy")</f>
        <v>Happy</v>
      </c>
      <c r="N34" s="22" t="str">
        <f>_xlfn.XLOOKUP(calls[[#This Row],[Customer ID]],customers[Customer ID],customers[Gedner])</f>
        <v>Female</v>
      </c>
      <c r="O34" s="22">
        <f>_xlfn.XLOOKUP(calls[[#This Row],[Customer ID]],customers[Customer ID],customers[Age])</f>
        <v>25</v>
      </c>
      <c r="P34" s="22" t="str">
        <f>_xlfn.XLOOKUP(calls[[#This Row],[Customer ID]],customers[Customer ID],customers[City])</f>
        <v>Columbus</v>
      </c>
    </row>
    <row r="35" spans="2:16" x14ac:dyDescent="0.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s="22" t="str">
        <f>IF(calls[[#This Row],[Rating rounded]]&gt;=4,"Happy")</f>
        <v>Happy</v>
      </c>
      <c r="N35" s="22" t="str">
        <f>_xlfn.XLOOKUP(calls[[#This Row],[Customer ID]],customers[Customer ID],customers[Gedner])</f>
        <v>Female</v>
      </c>
      <c r="O35" s="22">
        <f>_xlfn.XLOOKUP(calls[[#This Row],[Customer ID]],customers[Customer ID],customers[Age])</f>
        <v>30</v>
      </c>
      <c r="P35" s="22" t="str">
        <f>_xlfn.XLOOKUP(calls[[#This Row],[Customer ID]],customers[Customer ID],customers[City])</f>
        <v>Cincinnati</v>
      </c>
    </row>
    <row r="36" spans="2:16" x14ac:dyDescent="0.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s="22" t="str">
        <f>IF(calls[[#This Row],[Rating rounded]]&gt;=4,"Happy")</f>
        <v>Happy</v>
      </c>
      <c r="N36" s="22" t="str">
        <f>_xlfn.XLOOKUP(calls[[#This Row],[Customer ID]],customers[Customer ID],customers[Gedner])</f>
        <v>Female</v>
      </c>
      <c r="O36" s="22">
        <f>_xlfn.XLOOKUP(calls[[#This Row],[Customer ID]],customers[Customer ID],customers[Age])</f>
        <v>30</v>
      </c>
      <c r="P36" s="22" t="str">
        <f>_xlfn.XLOOKUP(calls[[#This Row],[Customer ID]],customers[Customer ID],customers[City])</f>
        <v>Cincinnati</v>
      </c>
    </row>
    <row r="37" spans="2:16" x14ac:dyDescent="0.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s="22" t="str">
        <f>IF(calls[[#This Row],[Rating rounded]]&gt;=4,"Happy")</f>
        <v>Happy</v>
      </c>
      <c r="N37" s="22" t="str">
        <f>_xlfn.XLOOKUP(calls[[#This Row],[Customer ID]],customers[Customer ID],customers[Gedner])</f>
        <v>Male</v>
      </c>
      <c r="O37" s="22">
        <f>_xlfn.XLOOKUP(calls[[#This Row],[Customer ID]],customers[Customer ID],customers[Age])</f>
        <v>23</v>
      </c>
      <c r="P37" s="22" t="str">
        <f>_xlfn.XLOOKUP(calls[[#This Row],[Customer ID]],customers[Customer ID],customers[City])</f>
        <v>Columbus</v>
      </c>
    </row>
    <row r="38" spans="2:16" x14ac:dyDescent="0.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s="22" t="str">
        <f>IF(calls[[#This Row],[Rating rounded]]&gt;=4,"Happy")</f>
        <v>Happy</v>
      </c>
      <c r="N38" s="22" t="str">
        <f>_xlfn.XLOOKUP(calls[[#This Row],[Customer ID]],customers[Customer ID],customers[Gedner])</f>
        <v>Male</v>
      </c>
      <c r="O38" s="22">
        <f>_xlfn.XLOOKUP(calls[[#This Row],[Customer ID]],customers[Customer ID],customers[Age])</f>
        <v>41</v>
      </c>
      <c r="P38" s="22" t="str">
        <f>_xlfn.XLOOKUP(calls[[#This Row],[Customer ID]],customers[Customer ID],customers[City])</f>
        <v>Columbus</v>
      </c>
    </row>
    <row r="39" spans="2:16" x14ac:dyDescent="0.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s="22" t="b">
        <f>IF(calls[[#This Row],[Rating rounded]]&gt;=4,"Happy")</f>
        <v>0</v>
      </c>
      <c r="N39" s="22" t="str">
        <f>_xlfn.XLOOKUP(calls[[#This Row],[Customer ID]],customers[Customer ID],customers[Gedner])</f>
        <v>Female</v>
      </c>
      <c r="O39" s="22">
        <f>_xlfn.XLOOKUP(calls[[#This Row],[Customer ID]],customers[Customer ID],customers[Age])</f>
        <v>25</v>
      </c>
      <c r="P39" s="22" t="str">
        <f>_xlfn.XLOOKUP(calls[[#This Row],[Customer ID]],customers[Customer ID],customers[City])</f>
        <v>Columbus</v>
      </c>
    </row>
    <row r="40" spans="2:16" x14ac:dyDescent="0.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s="22" t="b">
        <f>IF(calls[[#This Row],[Rating rounded]]&gt;=4,"Happy")</f>
        <v>0</v>
      </c>
      <c r="N40" s="22" t="str">
        <f>_xlfn.XLOOKUP(calls[[#This Row],[Customer ID]],customers[Customer ID],customers[Gedner])</f>
        <v>Female</v>
      </c>
      <c r="O40" s="22">
        <f>_xlfn.XLOOKUP(calls[[#This Row],[Customer ID]],customers[Customer ID],customers[Age])</f>
        <v>43</v>
      </c>
      <c r="P40" s="22" t="str">
        <f>_xlfn.XLOOKUP(calls[[#This Row],[Customer ID]],customers[Customer ID],customers[City])</f>
        <v>Cleveland</v>
      </c>
    </row>
    <row r="41" spans="2:16" x14ac:dyDescent="0.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s="22" t="b">
        <f>IF(calls[[#This Row],[Rating rounded]]&gt;=4,"Happy")</f>
        <v>0</v>
      </c>
      <c r="N41" s="22" t="str">
        <f>_xlfn.XLOOKUP(calls[[#This Row],[Customer ID]],customers[Customer ID],customers[Gedner])</f>
        <v>Male</v>
      </c>
      <c r="O41" s="22">
        <f>_xlfn.XLOOKUP(calls[[#This Row],[Customer ID]],customers[Customer ID],customers[Age])</f>
        <v>36</v>
      </c>
      <c r="P41" s="22" t="str">
        <f>_xlfn.XLOOKUP(calls[[#This Row],[Customer ID]],customers[Customer ID],customers[City])</f>
        <v>Cincinnati</v>
      </c>
    </row>
    <row r="42" spans="2:16" x14ac:dyDescent="0.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s="22" t="b">
        <f>IF(calls[[#This Row],[Rating rounded]]&gt;=4,"Happy")</f>
        <v>0</v>
      </c>
      <c r="N42" s="22" t="str">
        <f>_xlfn.XLOOKUP(calls[[#This Row],[Customer ID]],customers[Customer ID],customers[Gedner])</f>
        <v>Female</v>
      </c>
      <c r="O42" s="22">
        <f>_xlfn.XLOOKUP(calls[[#This Row],[Customer ID]],customers[Customer ID],customers[Age])</f>
        <v>43</v>
      </c>
      <c r="P42" s="22" t="str">
        <f>_xlfn.XLOOKUP(calls[[#This Row],[Customer ID]],customers[Customer ID],customers[City])</f>
        <v>Cleveland</v>
      </c>
    </row>
    <row r="43" spans="2:16" x14ac:dyDescent="0.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s="22" t="str">
        <f>IF(calls[[#This Row],[Rating rounded]]&gt;=4,"Happy")</f>
        <v>Happy</v>
      </c>
      <c r="N43" s="22" t="str">
        <f>_xlfn.XLOOKUP(calls[[#This Row],[Customer ID]],customers[Customer ID],customers[Gedner])</f>
        <v>Female</v>
      </c>
      <c r="O43" s="22">
        <f>_xlfn.XLOOKUP(calls[[#This Row],[Customer ID]],customers[Customer ID],customers[Age])</f>
        <v>25</v>
      </c>
      <c r="P43" s="22" t="str">
        <f>_xlfn.XLOOKUP(calls[[#This Row],[Customer ID]],customers[Customer ID],customers[City])</f>
        <v>Columbus</v>
      </c>
    </row>
    <row r="44" spans="2:16" x14ac:dyDescent="0.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s="22" t="str">
        <f>IF(calls[[#This Row],[Rating rounded]]&gt;=4,"Happy")</f>
        <v>Happy</v>
      </c>
      <c r="N44" s="22" t="str">
        <f>_xlfn.XLOOKUP(calls[[#This Row],[Customer ID]],customers[Customer ID],customers[Gedner])</f>
        <v>Male</v>
      </c>
      <c r="O44" s="22">
        <f>_xlfn.XLOOKUP(calls[[#This Row],[Customer ID]],customers[Customer ID],customers[Age])</f>
        <v>36</v>
      </c>
      <c r="P44" s="22" t="str">
        <f>_xlfn.XLOOKUP(calls[[#This Row],[Customer ID]],customers[Customer ID],customers[City])</f>
        <v>Cincinnati</v>
      </c>
    </row>
    <row r="45" spans="2:16" x14ac:dyDescent="0.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s="22" t="str">
        <f>IF(calls[[#This Row],[Rating rounded]]&gt;=4,"Happy")</f>
        <v>Happy</v>
      </c>
      <c r="N45" s="22" t="str">
        <f>_xlfn.XLOOKUP(calls[[#This Row],[Customer ID]],customers[Customer ID],customers[Gedner])</f>
        <v>Female</v>
      </c>
      <c r="O45" s="22">
        <f>_xlfn.XLOOKUP(calls[[#This Row],[Customer ID]],customers[Customer ID],customers[Age])</f>
        <v>30</v>
      </c>
      <c r="P45" s="22" t="str">
        <f>_xlfn.XLOOKUP(calls[[#This Row],[Customer ID]],customers[Customer ID],customers[City])</f>
        <v>Cleveland</v>
      </c>
    </row>
    <row r="46" spans="2:16" x14ac:dyDescent="0.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s="22" t="str">
        <f>IF(calls[[#This Row],[Rating rounded]]&gt;=4,"Happy")</f>
        <v>Happy</v>
      </c>
      <c r="N46" s="22" t="str">
        <f>_xlfn.XLOOKUP(calls[[#This Row],[Customer ID]],customers[Customer ID],customers[Gedner])</f>
        <v>Female</v>
      </c>
      <c r="O46" s="22">
        <f>_xlfn.XLOOKUP(calls[[#This Row],[Customer ID]],customers[Customer ID],customers[Age])</f>
        <v>25</v>
      </c>
      <c r="P46" s="22" t="str">
        <f>_xlfn.XLOOKUP(calls[[#This Row],[Customer ID]],customers[Customer ID],customers[City])</f>
        <v>Columbus</v>
      </c>
    </row>
    <row r="47" spans="2:16" x14ac:dyDescent="0.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s="22" t="str">
        <f>IF(calls[[#This Row],[Rating rounded]]&gt;=4,"Happy")</f>
        <v>Happy</v>
      </c>
      <c r="N47" s="22" t="str">
        <f>_xlfn.XLOOKUP(calls[[#This Row],[Customer ID]],customers[Customer ID],customers[Gedner])</f>
        <v>Female</v>
      </c>
      <c r="O47" s="22">
        <f>_xlfn.XLOOKUP(calls[[#This Row],[Customer ID]],customers[Customer ID],customers[Age])</f>
        <v>37</v>
      </c>
      <c r="P47" s="22" t="str">
        <f>_xlfn.XLOOKUP(calls[[#This Row],[Customer ID]],customers[Customer ID],customers[City])</f>
        <v>Cleveland</v>
      </c>
    </row>
    <row r="48" spans="2:16" x14ac:dyDescent="0.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s="22" t="str">
        <f>IF(calls[[#This Row],[Rating rounded]]&gt;=4,"Happy")</f>
        <v>Happy</v>
      </c>
      <c r="N48" s="22" t="str">
        <f>_xlfn.XLOOKUP(calls[[#This Row],[Customer ID]],customers[Customer ID],customers[Gedner])</f>
        <v>Male</v>
      </c>
      <c r="O48" s="22">
        <f>_xlfn.XLOOKUP(calls[[#This Row],[Customer ID]],customers[Customer ID],customers[Age])</f>
        <v>41</v>
      </c>
      <c r="P48" s="22" t="str">
        <f>_xlfn.XLOOKUP(calls[[#This Row],[Customer ID]],customers[Customer ID],customers[City])</f>
        <v>Columbus</v>
      </c>
    </row>
    <row r="49" spans="2:16" x14ac:dyDescent="0.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s="22" t="str">
        <f>IF(calls[[#This Row],[Rating rounded]]&gt;=4,"Happy")</f>
        <v>Happy</v>
      </c>
      <c r="N49" s="22" t="str">
        <f>_xlfn.XLOOKUP(calls[[#This Row],[Customer ID]],customers[Customer ID],customers[Gedner])</f>
        <v>Female</v>
      </c>
      <c r="O49" s="22">
        <f>_xlfn.XLOOKUP(calls[[#This Row],[Customer ID]],customers[Customer ID],customers[Age])</f>
        <v>30</v>
      </c>
      <c r="P49" s="22" t="str">
        <f>_xlfn.XLOOKUP(calls[[#This Row],[Customer ID]],customers[Customer ID],customers[City])</f>
        <v>Cincinnati</v>
      </c>
    </row>
    <row r="50" spans="2:16" x14ac:dyDescent="0.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s="22" t="str">
        <f>IF(calls[[#This Row],[Rating rounded]]&gt;=4,"Happy")</f>
        <v>Happy</v>
      </c>
      <c r="N50" s="22" t="str">
        <f>_xlfn.XLOOKUP(calls[[#This Row],[Customer ID]],customers[Customer ID],customers[Gedner])</f>
        <v>Female</v>
      </c>
      <c r="O50" s="22">
        <f>_xlfn.XLOOKUP(calls[[#This Row],[Customer ID]],customers[Customer ID],customers[Age])</f>
        <v>38</v>
      </c>
      <c r="P50" s="22" t="str">
        <f>_xlfn.XLOOKUP(calls[[#This Row],[Customer ID]],customers[Customer ID],customers[City])</f>
        <v>Columbus</v>
      </c>
    </row>
    <row r="51" spans="2:16" x14ac:dyDescent="0.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s="22" t="str">
        <f>IF(calls[[#This Row],[Rating rounded]]&gt;=4,"Happy")</f>
        <v>Happy</v>
      </c>
      <c r="N51" s="22" t="str">
        <f>_xlfn.XLOOKUP(calls[[#This Row],[Customer ID]],customers[Customer ID],customers[Gedner])</f>
        <v>Male</v>
      </c>
      <c r="O51" s="22">
        <f>_xlfn.XLOOKUP(calls[[#This Row],[Customer ID]],customers[Customer ID],customers[Age])</f>
        <v>36</v>
      </c>
      <c r="P51" s="22" t="str">
        <f>_xlfn.XLOOKUP(calls[[#This Row],[Customer ID]],customers[Customer ID],customers[City])</f>
        <v>Cincinnati</v>
      </c>
    </row>
    <row r="52" spans="2:16" x14ac:dyDescent="0.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s="22" t="str">
        <f>IF(calls[[#This Row],[Rating rounded]]&gt;=4,"Happy")</f>
        <v>Happy</v>
      </c>
      <c r="N52" s="22" t="str">
        <f>_xlfn.XLOOKUP(calls[[#This Row],[Customer ID]],customers[Customer ID],customers[Gedner])</f>
        <v>Male</v>
      </c>
      <c r="O52" s="22">
        <f>_xlfn.XLOOKUP(calls[[#This Row],[Customer ID]],customers[Customer ID],customers[Age])</f>
        <v>26</v>
      </c>
      <c r="P52" s="22" t="str">
        <f>_xlfn.XLOOKUP(calls[[#This Row],[Customer ID]],customers[Customer ID],customers[City])</f>
        <v>Cincinnati</v>
      </c>
    </row>
    <row r="53" spans="2:16" x14ac:dyDescent="0.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s="22" t="str">
        <f>IF(calls[[#This Row],[Rating rounded]]&gt;=4,"Happy")</f>
        <v>Happy</v>
      </c>
      <c r="N53" s="22" t="str">
        <f>_xlfn.XLOOKUP(calls[[#This Row],[Customer ID]],customers[Customer ID],customers[Gedner])</f>
        <v>Female</v>
      </c>
      <c r="O53" s="22">
        <f>_xlfn.XLOOKUP(calls[[#This Row],[Customer ID]],customers[Customer ID],customers[Age])</f>
        <v>28</v>
      </c>
      <c r="P53" s="22" t="str">
        <f>_xlfn.XLOOKUP(calls[[#This Row],[Customer ID]],customers[Customer ID],customers[City])</f>
        <v>Cincinnati</v>
      </c>
    </row>
    <row r="54" spans="2:16" x14ac:dyDescent="0.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s="22" t="str">
        <f>IF(calls[[#This Row],[Rating rounded]]&gt;=4,"Happy")</f>
        <v>Happy</v>
      </c>
      <c r="N54" s="22" t="str">
        <f>_xlfn.XLOOKUP(calls[[#This Row],[Customer ID]],customers[Customer ID],customers[Gedner])</f>
        <v>Male</v>
      </c>
      <c r="O54" s="22">
        <f>_xlfn.XLOOKUP(calls[[#This Row],[Customer ID]],customers[Customer ID],customers[Age])</f>
        <v>31</v>
      </c>
      <c r="P54" s="22" t="str">
        <f>_xlfn.XLOOKUP(calls[[#This Row],[Customer ID]],customers[Customer ID],customers[City])</f>
        <v>Cleveland</v>
      </c>
    </row>
    <row r="55" spans="2:16" x14ac:dyDescent="0.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s="22" t="str">
        <f>IF(calls[[#This Row],[Rating rounded]]&gt;=4,"Happy")</f>
        <v>Happy</v>
      </c>
      <c r="N55" s="22" t="str">
        <f>_xlfn.XLOOKUP(calls[[#This Row],[Customer ID]],customers[Customer ID],customers[Gedner])</f>
        <v>Female</v>
      </c>
      <c r="O55" s="22">
        <f>_xlfn.XLOOKUP(calls[[#This Row],[Customer ID]],customers[Customer ID],customers[Age])</f>
        <v>37</v>
      </c>
      <c r="P55" s="22" t="str">
        <f>_xlfn.XLOOKUP(calls[[#This Row],[Customer ID]],customers[Customer ID],customers[City])</f>
        <v>Cleveland</v>
      </c>
    </row>
    <row r="56" spans="2:16" x14ac:dyDescent="0.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s="22" t="str">
        <f>IF(calls[[#This Row],[Rating rounded]]&gt;=4,"Happy")</f>
        <v>Happy</v>
      </c>
      <c r="N56" s="22" t="str">
        <f>_xlfn.XLOOKUP(calls[[#This Row],[Customer ID]],customers[Customer ID],customers[Gedner])</f>
        <v>Female</v>
      </c>
      <c r="O56" s="22">
        <f>_xlfn.XLOOKUP(calls[[#This Row],[Customer ID]],customers[Customer ID],customers[Age])</f>
        <v>37</v>
      </c>
      <c r="P56" s="22" t="str">
        <f>_xlfn.XLOOKUP(calls[[#This Row],[Customer ID]],customers[Customer ID],customers[City])</f>
        <v>Cleveland</v>
      </c>
    </row>
    <row r="57" spans="2:16" x14ac:dyDescent="0.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s="22" t="str">
        <f>IF(calls[[#This Row],[Rating rounded]]&gt;=4,"Happy")</f>
        <v>Happy</v>
      </c>
      <c r="N57" s="22" t="str">
        <f>_xlfn.XLOOKUP(calls[[#This Row],[Customer ID]],customers[Customer ID],customers[Gedner])</f>
        <v>Female</v>
      </c>
      <c r="O57" s="22">
        <f>_xlfn.XLOOKUP(calls[[#This Row],[Customer ID]],customers[Customer ID],customers[Age])</f>
        <v>42</v>
      </c>
      <c r="P57" s="22" t="str">
        <f>_xlfn.XLOOKUP(calls[[#This Row],[Customer ID]],customers[Customer ID],customers[City])</f>
        <v>Cleveland</v>
      </c>
    </row>
    <row r="58" spans="2:16" x14ac:dyDescent="0.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s="22" t="str">
        <f>IF(calls[[#This Row],[Rating rounded]]&gt;=4,"Happy")</f>
        <v>Happy</v>
      </c>
      <c r="N58" s="22" t="str">
        <f>_xlfn.XLOOKUP(calls[[#This Row],[Customer ID]],customers[Customer ID],customers[Gedner])</f>
        <v>Female</v>
      </c>
      <c r="O58" s="22">
        <f>_xlfn.XLOOKUP(calls[[#This Row],[Customer ID]],customers[Customer ID],customers[Age])</f>
        <v>37</v>
      </c>
      <c r="P58" s="22" t="str">
        <f>_xlfn.XLOOKUP(calls[[#This Row],[Customer ID]],customers[Customer ID],customers[City])</f>
        <v>Cleveland</v>
      </c>
    </row>
    <row r="59" spans="2:16" x14ac:dyDescent="0.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s="22" t="str">
        <f>IF(calls[[#This Row],[Rating rounded]]&gt;=4,"Happy")</f>
        <v>Happy</v>
      </c>
      <c r="N59" s="22" t="str">
        <f>_xlfn.XLOOKUP(calls[[#This Row],[Customer ID]],customers[Customer ID],customers[Gedner])</f>
        <v>Female</v>
      </c>
      <c r="O59" s="22">
        <f>_xlfn.XLOOKUP(calls[[#This Row],[Customer ID]],customers[Customer ID],customers[Age])</f>
        <v>28</v>
      </c>
      <c r="P59" s="22" t="str">
        <f>_xlfn.XLOOKUP(calls[[#This Row],[Customer ID]],customers[Customer ID],customers[City])</f>
        <v>Cincinnati</v>
      </c>
    </row>
    <row r="60" spans="2:16" x14ac:dyDescent="0.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s="22" t="b">
        <f>IF(calls[[#This Row],[Rating rounded]]&gt;=4,"Happy")</f>
        <v>0</v>
      </c>
      <c r="N60" s="22" t="str">
        <f>_xlfn.XLOOKUP(calls[[#This Row],[Customer ID]],customers[Customer ID],customers[Gedner])</f>
        <v>Female</v>
      </c>
      <c r="O60" s="22">
        <f>_xlfn.XLOOKUP(calls[[#This Row],[Customer ID]],customers[Customer ID],customers[Age])</f>
        <v>42</v>
      </c>
      <c r="P60" s="22" t="str">
        <f>_xlfn.XLOOKUP(calls[[#This Row],[Customer ID]],customers[Customer ID],customers[City])</f>
        <v>Cleveland</v>
      </c>
    </row>
    <row r="61" spans="2:16" x14ac:dyDescent="0.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s="22" t="b">
        <f>IF(calls[[#This Row],[Rating rounded]]&gt;=4,"Happy")</f>
        <v>0</v>
      </c>
      <c r="N61" s="22" t="str">
        <f>_xlfn.XLOOKUP(calls[[#This Row],[Customer ID]],customers[Customer ID],customers[Gedner])</f>
        <v>Female</v>
      </c>
      <c r="O61" s="22">
        <f>_xlfn.XLOOKUP(calls[[#This Row],[Customer ID]],customers[Customer ID],customers[Age])</f>
        <v>43</v>
      </c>
      <c r="P61" s="22" t="str">
        <f>_xlfn.XLOOKUP(calls[[#This Row],[Customer ID]],customers[Customer ID],customers[City])</f>
        <v>Cleveland</v>
      </c>
    </row>
    <row r="62" spans="2:16" x14ac:dyDescent="0.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s="22" t="str">
        <f>IF(calls[[#This Row],[Rating rounded]]&gt;=4,"Happy")</f>
        <v>Happy</v>
      </c>
      <c r="N62" s="22" t="str">
        <f>_xlfn.XLOOKUP(calls[[#This Row],[Customer ID]],customers[Customer ID],customers[Gedner])</f>
        <v>Female</v>
      </c>
      <c r="O62" s="22">
        <f>_xlfn.XLOOKUP(calls[[#This Row],[Customer ID]],customers[Customer ID],customers[Age])</f>
        <v>30</v>
      </c>
      <c r="P62" s="22" t="str">
        <f>_xlfn.XLOOKUP(calls[[#This Row],[Customer ID]],customers[Customer ID],customers[City])</f>
        <v>Cincinnati</v>
      </c>
    </row>
    <row r="63" spans="2:16" x14ac:dyDescent="0.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s="22" t="str">
        <f>IF(calls[[#This Row],[Rating rounded]]&gt;=4,"Happy")</f>
        <v>Happy</v>
      </c>
      <c r="N63" s="22" t="str">
        <f>_xlfn.XLOOKUP(calls[[#This Row],[Customer ID]],customers[Customer ID],customers[Gedner])</f>
        <v>Female</v>
      </c>
      <c r="O63" s="22">
        <f>_xlfn.XLOOKUP(calls[[#This Row],[Customer ID]],customers[Customer ID],customers[Age])</f>
        <v>42</v>
      </c>
      <c r="P63" s="22" t="str">
        <f>_xlfn.XLOOKUP(calls[[#This Row],[Customer ID]],customers[Customer ID],customers[City])</f>
        <v>Cleveland</v>
      </c>
    </row>
    <row r="64" spans="2:16" x14ac:dyDescent="0.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s="22" t="str">
        <f>IF(calls[[#This Row],[Rating rounded]]&gt;=4,"Happy")</f>
        <v>Happy</v>
      </c>
      <c r="N64" s="22" t="str">
        <f>_xlfn.XLOOKUP(calls[[#This Row],[Customer ID]],customers[Customer ID],customers[Gedner])</f>
        <v>Female</v>
      </c>
      <c r="O64" s="22">
        <f>_xlfn.XLOOKUP(calls[[#This Row],[Customer ID]],customers[Customer ID],customers[Age])</f>
        <v>37</v>
      </c>
      <c r="P64" s="22" t="str">
        <f>_xlfn.XLOOKUP(calls[[#This Row],[Customer ID]],customers[Customer ID],customers[City])</f>
        <v>Cleveland</v>
      </c>
    </row>
    <row r="65" spans="2:16" x14ac:dyDescent="0.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s="22" t="b">
        <f>IF(calls[[#This Row],[Rating rounded]]&gt;=4,"Happy")</f>
        <v>0</v>
      </c>
      <c r="N65" s="22" t="str">
        <f>_xlfn.XLOOKUP(calls[[#This Row],[Customer ID]],customers[Customer ID],customers[Gedner])</f>
        <v>Female</v>
      </c>
      <c r="O65" s="22">
        <f>_xlfn.XLOOKUP(calls[[#This Row],[Customer ID]],customers[Customer ID],customers[Age])</f>
        <v>30</v>
      </c>
      <c r="P65" s="22" t="str">
        <f>_xlfn.XLOOKUP(calls[[#This Row],[Customer ID]],customers[Customer ID],customers[City])</f>
        <v>Cleveland</v>
      </c>
    </row>
    <row r="66" spans="2:16" x14ac:dyDescent="0.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s="22" t="str">
        <f>IF(calls[[#This Row],[Rating rounded]]&gt;=4,"Happy")</f>
        <v>Happy</v>
      </c>
      <c r="N66" s="22" t="str">
        <f>_xlfn.XLOOKUP(calls[[#This Row],[Customer ID]],customers[Customer ID],customers[Gedner])</f>
        <v>Female</v>
      </c>
      <c r="O66" s="22">
        <f>_xlfn.XLOOKUP(calls[[#This Row],[Customer ID]],customers[Customer ID],customers[Age])</f>
        <v>43</v>
      </c>
      <c r="P66" s="22" t="str">
        <f>_xlfn.XLOOKUP(calls[[#This Row],[Customer ID]],customers[Customer ID],customers[City])</f>
        <v>Cleveland</v>
      </c>
    </row>
    <row r="67" spans="2:16" x14ac:dyDescent="0.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s="22" t="str">
        <f>IF(calls[[#This Row],[Rating rounded]]&gt;=4,"Happy")</f>
        <v>Happy</v>
      </c>
      <c r="N67" s="22" t="str">
        <f>_xlfn.XLOOKUP(calls[[#This Row],[Customer ID]],customers[Customer ID],customers[Gedner])</f>
        <v>Female</v>
      </c>
      <c r="O67" s="22">
        <f>_xlfn.XLOOKUP(calls[[#This Row],[Customer ID]],customers[Customer ID],customers[Age])</f>
        <v>37</v>
      </c>
      <c r="P67" s="22" t="str">
        <f>_xlfn.XLOOKUP(calls[[#This Row],[Customer ID]],customers[Customer ID],customers[City])</f>
        <v>Cleveland</v>
      </c>
    </row>
    <row r="68" spans="2:16" x14ac:dyDescent="0.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s="22" t="str">
        <f>IF(calls[[#This Row],[Rating rounded]]&gt;=4,"Happy")</f>
        <v>Happy</v>
      </c>
      <c r="N68" s="22" t="str">
        <f>_xlfn.XLOOKUP(calls[[#This Row],[Customer ID]],customers[Customer ID],customers[Gedner])</f>
        <v>Male</v>
      </c>
      <c r="O68" s="22">
        <f>_xlfn.XLOOKUP(calls[[#This Row],[Customer ID]],customers[Customer ID],customers[Age])</f>
        <v>41</v>
      </c>
      <c r="P68" s="22" t="str">
        <f>_xlfn.XLOOKUP(calls[[#This Row],[Customer ID]],customers[Customer ID],customers[City])</f>
        <v>Columbus</v>
      </c>
    </row>
    <row r="69" spans="2:16" x14ac:dyDescent="0.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s="22" t="str">
        <f>IF(calls[[#This Row],[Rating rounded]]&gt;=4,"Happy")</f>
        <v>Happy</v>
      </c>
      <c r="N69" s="22" t="str">
        <f>_xlfn.XLOOKUP(calls[[#This Row],[Customer ID]],customers[Customer ID],customers[Gedner])</f>
        <v>Male</v>
      </c>
      <c r="O69" s="22">
        <f>_xlfn.XLOOKUP(calls[[#This Row],[Customer ID]],customers[Customer ID],customers[Age])</f>
        <v>36</v>
      </c>
      <c r="P69" s="22" t="str">
        <f>_xlfn.XLOOKUP(calls[[#This Row],[Customer ID]],customers[Customer ID],customers[City])</f>
        <v>Cincinnati</v>
      </c>
    </row>
    <row r="70" spans="2:16" x14ac:dyDescent="0.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s="22" t="b">
        <f>IF(calls[[#This Row],[Rating rounded]]&gt;=4,"Happy")</f>
        <v>0</v>
      </c>
      <c r="N70" s="22" t="str">
        <f>_xlfn.XLOOKUP(calls[[#This Row],[Customer ID]],customers[Customer ID],customers[Gedner])</f>
        <v>Female</v>
      </c>
      <c r="O70" s="22">
        <f>_xlfn.XLOOKUP(calls[[#This Row],[Customer ID]],customers[Customer ID],customers[Age])</f>
        <v>43</v>
      </c>
      <c r="P70" s="22" t="str">
        <f>_xlfn.XLOOKUP(calls[[#This Row],[Customer ID]],customers[Customer ID],customers[City])</f>
        <v>Cleveland</v>
      </c>
    </row>
    <row r="71" spans="2:16" x14ac:dyDescent="0.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s="22" t="str">
        <f>IF(calls[[#This Row],[Rating rounded]]&gt;=4,"Happy")</f>
        <v>Happy</v>
      </c>
      <c r="N71" s="22" t="str">
        <f>_xlfn.XLOOKUP(calls[[#This Row],[Customer ID]],customers[Customer ID],customers[Gedner])</f>
        <v>Female</v>
      </c>
      <c r="O71" s="22">
        <f>_xlfn.XLOOKUP(calls[[#This Row],[Customer ID]],customers[Customer ID],customers[Age])</f>
        <v>30</v>
      </c>
      <c r="P71" s="22" t="str">
        <f>_xlfn.XLOOKUP(calls[[#This Row],[Customer ID]],customers[Customer ID],customers[City])</f>
        <v>Cleveland</v>
      </c>
    </row>
    <row r="72" spans="2:16" x14ac:dyDescent="0.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s="22" t="b">
        <f>IF(calls[[#This Row],[Rating rounded]]&gt;=4,"Happy")</f>
        <v>0</v>
      </c>
      <c r="N72" s="22" t="str">
        <f>_xlfn.XLOOKUP(calls[[#This Row],[Customer ID]],customers[Customer ID],customers[Gedner])</f>
        <v>Male</v>
      </c>
      <c r="O72" s="22">
        <f>_xlfn.XLOOKUP(calls[[#This Row],[Customer ID]],customers[Customer ID],customers[Age])</f>
        <v>37</v>
      </c>
      <c r="P72" s="22" t="str">
        <f>_xlfn.XLOOKUP(calls[[#This Row],[Customer ID]],customers[Customer ID],customers[City])</f>
        <v>Columbus</v>
      </c>
    </row>
    <row r="73" spans="2:16" x14ac:dyDescent="0.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s="22" t="b">
        <f>IF(calls[[#This Row],[Rating rounded]]&gt;=4,"Happy")</f>
        <v>0</v>
      </c>
      <c r="N73" s="22" t="str">
        <f>_xlfn.XLOOKUP(calls[[#This Row],[Customer ID]],customers[Customer ID],customers[Gedner])</f>
        <v>Male</v>
      </c>
      <c r="O73" s="22">
        <f>_xlfn.XLOOKUP(calls[[#This Row],[Customer ID]],customers[Customer ID],customers[Age])</f>
        <v>23</v>
      </c>
      <c r="P73" s="22" t="str">
        <f>_xlfn.XLOOKUP(calls[[#This Row],[Customer ID]],customers[Customer ID],customers[City])</f>
        <v>Columbus</v>
      </c>
    </row>
    <row r="74" spans="2:16" x14ac:dyDescent="0.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s="22" t="str">
        <f>IF(calls[[#This Row],[Rating rounded]]&gt;=4,"Happy")</f>
        <v>Happy</v>
      </c>
      <c r="N74" s="22" t="str">
        <f>_xlfn.XLOOKUP(calls[[#This Row],[Customer ID]],customers[Customer ID],customers[Gedner])</f>
        <v>Male</v>
      </c>
      <c r="O74" s="22">
        <f>_xlfn.XLOOKUP(calls[[#This Row],[Customer ID]],customers[Customer ID],customers[Age])</f>
        <v>23</v>
      </c>
      <c r="P74" s="22" t="str">
        <f>_xlfn.XLOOKUP(calls[[#This Row],[Customer ID]],customers[Customer ID],customers[City])</f>
        <v>Columbus</v>
      </c>
    </row>
    <row r="75" spans="2:16" x14ac:dyDescent="0.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s="22" t="str">
        <f>IF(calls[[#This Row],[Rating rounded]]&gt;=4,"Happy")</f>
        <v>Happy</v>
      </c>
      <c r="N75" s="22" t="str">
        <f>_xlfn.XLOOKUP(calls[[#This Row],[Customer ID]],customers[Customer ID],customers[Gedner])</f>
        <v>Male</v>
      </c>
      <c r="O75" s="22">
        <f>_xlfn.XLOOKUP(calls[[#This Row],[Customer ID]],customers[Customer ID],customers[Age])</f>
        <v>41</v>
      </c>
      <c r="P75" s="22" t="str">
        <f>_xlfn.XLOOKUP(calls[[#This Row],[Customer ID]],customers[Customer ID],customers[City])</f>
        <v>Columbus</v>
      </c>
    </row>
    <row r="76" spans="2:16" x14ac:dyDescent="0.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s="22" t="b">
        <f>IF(calls[[#This Row],[Rating rounded]]&gt;=4,"Happy")</f>
        <v>0</v>
      </c>
      <c r="N76" s="22" t="str">
        <f>_xlfn.XLOOKUP(calls[[#This Row],[Customer ID]],customers[Customer ID],customers[Gedner])</f>
        <v>Female</v>
      </c>
      <c r="O76" s="22">
        <f>_xlfn.XLOOKUP(calls[[#This Row],[Customer ID]],customers[Customer ID],customers[Age])</f>
        <v>37</v>
      </c>
      <c r="P76" s="22" t="str">
        <f>_xlfn.XLOOKUP(calls[[#This Row],[Customer ID]],customers[Customer ID],customers[City])</f>
        <v>Cleveland</v>
      </c>
    </row>
    <row r="77" spans="2:16" x14ac:dyDescent="0.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s="22" t="b">
        <f>IF(calls[[#This Row],[Rating rounded]]&gt;=4,"Happy")</f>
        <v>0</v>
      </c>
      <c r="N77" s="22" t="str">
        <f>_xlfn.XLOOKUP(calls[[#This Row],[Customer ID]],customers[Customer ID],customers[Gedner])</f>
        <v>Female</v>
      </c>
      <c r="O77" s="22">
        <f>_xlfn.XLOOKUP(calls[[#This Row],[Customer ID]],customers[Customer ID],customers[Age])</f>
        <v>42</v>
      </c>
      <c r="P77" s="22" t="str">
        <f>_xlfn.XLOOKUP(calls[[#This Row],[Customer ID]],customers[Customer ID],customers[City])</f>
        <v>Cleveland</v>
      </c>
    </row>
    <row r="78" spans="2:16" x14ac:dyDescent="0.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s="22" t="str">
        <f>IF(calls[[#This Row],[Rating rounded]]&gt;=4,"Happy")</f>
        <v>Happy</v>
      </c>
      <c r="N78" s="22" t="str">
        <f>_xlfn.XLOOKUP(calls[[#This Row],[Customer ID]],customers[Customer ID],customers[Gedner])</f>
        <v>Male</v>
      </c>
      <c r="O78" s="22">
        <f>_xlfn.XLOOKUP(calls[[#This Row],[Customer ID]],customers[Customer ID],customers[Age])</f>
        <v>37</v>
      </c>
      <c r="P78" s="22" t="str">
        <f>_xlfn.XLOOKUP(calls[[#This Row],[Customer ID]],customers[Customer ID],customers[City])</f>
        <v>Columbus</v>
      </c>
    </row>
    <row r="79" spans="2:16" x14ac:dyDescent="0.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s="22" t="b">
        <f>IF(calls[[#This Row],[Rating rounded]]&gt;=4,"Happy")</f>
        <v>0</v>
      </c>
      <c r="N79" s="22" t="str">
        <f>_xlfn.XLOOKUP(calls[[#This Row],[Customer ID]],customers[Customer ID],customers[Gedner])</f>
        <v>Female</v>
      </c>
      <c r="O79" s="22">
        <f>_xlfn.XLOOKUP(calls[[#This Row],[Customer ID]],customers[Customer ID],customers[Age])</f>
        <v>30</v>
      </c>
      <c r="P79" s="22" t="str">
        <f>_xlfn.XLOOKUP(calls[[#This Row],[Customer ID]],customers[Customer ID],customers[City])</f>
        <v>Cincinnati</v>
      </c>
    </row>
    <row r="80" spans="2:16" x14ac:dyDescent="0.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s="22" t="b">
        <f>IF(calls[[#This Row],[Rating rounded]]&gt;=4,"Happy")</f>
        <v>0</v>
      </c>
      <c r="N80" s="22" t="str">
        <f>_xlfn.XLOOKUP(calls[[#This Row],[Customer ID]],customers[Customer ID],customers[Gedner])</f>
        <v>Female</v>
      </c>
      <c r="O80" s="22">
        <f>_xlfn.XLOOKUP(calls[[#This Row],[Customer ID]],customers[Customer ID],customers[Age])</f>
        <v>30</v>
      </c>
      <c r="P80" s="22" t="str">
        <f>_xlfn.XLOOKUP(calls[[#This Row],[Customer ID]],customers[Customer ID],customers[City])</f>
        <v>Cleveland</v>
      </c>
    </row>
    <row r="81" spans="2:16" x14ac:dyDescent="0.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s="22" t="str">
        <f>IF(calls[[#This Row],[Rating rounded]]&gt;=4,"Happy")</f>
        <v>Happy</v>
      </c>
      <c r="N81" s="22" t="str">
        <f>_xlfn.XLOOKUP(calls[[#This Row],[Customer ID]],customers[Customer ID],customers[Gedner])</f>
        <v>Male</v>
      </c>
      <c r="O81" s="22">
        <f>_xlfn.XLOOKUP(calls[[#This Row],[Customer ID]],customers[Customer ID],customers[Age])</f>
        <v>36</v>
      </c>
      <c r="P81" s="22" t="str">
        <f>_xlfn.XLOOKUP(calls[[#This Row],[Customer ID]],customers[Customer ID],customers[City])</f>
        <v>Cincinnati</v>
      </c>
    </row>
    <row r="82" spans="2:16" x14ac:dyDescent="0.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s="22" t="str">
        <f>IF(calls[[#This Row],[Rating rounded]]&gt;=4,"Happy")</f>
        <v>Happy</v>
      </c>
      <c r="N82" s="22" t="str">
        <f>_xlfn.XLOOKUP(calls[[#This Row],[Customer ID]],customers[Customer ID],customers[Gedner])</f>
        <v>Female</v>
      </c>
      <c r="O82" s="22">
        <f>_xlfn.XLOOKUP(calls[[#This Row],[Customer ID]],customers[Customer ID],customers[Age])</f>
        <v>30</v>
      </c>
      <c r="P82" s="22" t="str">
        <f>_xlfn.XLOOKUP(calls[[#This Row],[Customer ID]],customers[Customer ID],customers[City])</f>
        <v>Cincinnati</v>
      </c>
    </row>
    <row r="83" spans="2:16" x14ac:dyDescent="0.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s="22" t="str">
        <f>IF(calls[[#This Row],[Rating rounded]]&gt;=4,"Happy")</f>
        <v>Happy</v>
      </c>
      <c r="N83" s="22" t="str">
        <f>_xlfn.XLOOKUP(calls[[#This Row],[Customer ID]],customers[Customer ID],customers[Gedner])</f>
        <v>Female</v>
      </c>
      <c r="O83" s="22">
        <f>_xlfn.XLOOKUP(calls[[#This Row],[Customer ID]],customers[Customer ID],customers[Age])</f>
        <v>25</v>
      </c>
      <c r="P83" s="22" t="str">
        <f>_xlfn.XLOOKUP(calls[[#This Row],[Customer ID]],customers[Customer ID],customers[City])</f>
        <v>Columbus</v>
      </c>
    </row>
    <row r="84" spans="2:16" x14ac:dyDescent="0.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s="22" t="str">
        <f>IF(calls[[#This Row],[Rating rounded]]&gt;=4,"Happy")</f>
        <v>Happy</v>
      </c>
      <c r="N84" s="22" t="str">
        <f>_xlfn.XLOOKUP(calls[[#This Row],[Customer ID]],customers[Customer ID],customers[Gedner])</f>
        <v>Female</v>
      </c>
      <c r="O84" s="22">
        <f>_xlfn.XLOOKUP(calls[[#This Row],[Customer ID]],customers[Customer ID],customers[Age])</f>
        <v>30</v>
      </c>
      <c r="P84" s="22" t="str">
        <f>_xlfn.XLOOKUP(calls[[#This Row],[Customer ID]],customers[Customer ID],customers[City])</f>
        <v>Cleveland</v>
      </c>
    </row>
    <row r="85" spans="2:16" x14ac:dyDescent="0.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s="22" t="str">
        <f>IF(calls[[#This Row],[Rating rounded]]&gt;=4,"Happy")</f>
        <v>Happy</v>
      </c>
      <c r="N85" s="22" t="str">
        <f>_xlfn.XLOOKUP(calls[[#This Row],[Customer ID]],customers[Customer ID],customers[Gedner])</f>
        <v>Female</v>
      </c>
      <c r="O85" s="22">
        <f>_xlfn.XLOOKUP(calls[[#This Row],[Customer ID]],customers[Customer ID],customers[Age])</f>
        <v>30</v>
      </c>
      <c r="P85" s="22" t="str">
        <f>_xlfn.XLOOKUP(calls[[#This Row],[Customer ID]],customers[Customer ID],customers[City])</f>
        <v>Cincinnati</v>
      </c>
    </row>
    <row r="86" spans="2:16" x14ac:dyDescent="0.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s="22" t="b">
        <f>IF(calls[[#This Row],[Rating rounded]]&gt;=4,"Happy")</f>
        <v>0</v>
      </c>
      <c r="N86" s="22" t="str">
        <f>_xlfn.XLOOKUP(calls[[#This Row],[Customer ID]],customers[Customer ID],customers[Gedner])</f>
        <v>Female</v>
      </c>
      <c r="O86" s="22">
        <f>_xlfn.XLOOKUP(calls[[#This Row],[Customer ID]],customers[Customer ID],customers[Age])</f>
        <v>42</v>
      </c>
      <c r="P86" s="22" t="str">
        <f>_xlfn.XLOOKUP(calls[[#This Row],[Customer ID]],customers[Customer ID],customers[City])</f>
        <v>Cleveland</v>
      </c>
    </row>
    <row r="87" spans="2:16" x14ac:dyDescent="0.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s="22" t="b">
        <f>IF(calls[[#This Row],[Rating rounded]]&gt;=4,"Happy")</f>
        <v>0</v>
      </c>
      <c r="N87" s="22" t="str">
        <f>_xlfn.XLOOKUP(calls[[#This Row],[Customer ID]],customers[Customer ID],customers[Gedner])</f>
        <v>Male</v>
      </c>
      <c r="O87" s="22">
        <f>_xlfn.XLOOKUP(calls[[#This Row],[Customer ID]],customers[Customer ID],customers[Age])</f>
        <v>36</v>
      </c>
      <c r="P87" s="22" t="str">
        <f>_xlfn.XLOOKUP(calls[[#This Row],[Customer ID]],customers[Customer ID],customers[City])</f>
        <v>Cincinnati</v>
      </c>
    </row>
    <row r="88" spans="2:16" x14ac:dyDescent="0.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s="22" t="str">
        <f>IF(calls[[#This Row],[Rating rounded]]&gt;=4,"Happy")</f>
        <v>Happy</v>
      </c>
      <c r="N88" s="22" t="str">
        <f>_xlfn.XLOOKUP(calls[[#This Row],[Customer ID]],customers[Customer ID],customers[Gedner])</f>
        <v>Female</v>
      </c>
      <c r="O88" s="22">
        <f>_xlfn.XLOOKUP(calls[[#This Row],[Customer ID]],customers[Customer ID],customers[Age])</f>
        <v>30</v>
      </c>
      <c r="P88" s="22" t="str">
        <f>_xlfn.XLOOKUP(calls[[#This Row],[Customer ID]],customers[Customer ID],customers[City])</f>
        <v>Cincinnati</v>
      </c>
    </row>
    <row r="89" spans="2:16" x14ac:dyDescent="0.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s="22" t="str">
        <f>IF(calls[[#This Row],[Rating rounded]]&gt;=4,"Happy")</f>
        <v>Happy</v>
      </c>
      <c r="N89" s="22" t="str">
        <f>_xlfn.XLOOKUP(calls[[#This Row],[Customer ID]],customers[Customer ID],customers[Gedner])</f>
        <v>Female</v>
      </c>
      <c r="O89" s="22">
        <f>_xlfn.XLOOKUP(calls[[#This Row],[Customer ID]],customers[Customer ID],customers[Age])</f>
        <v>38</v>
      </c>
      <c r="P89" s="22" t="str">
        <f>_xlfn.XLOOKUP(calls[[#This Row],[Customer ID]],customers[Customer ID],customers[City])</f>
        <v>Columbus</v>
      </c>
    </row>
    <row r="90" spans="2:16" x14ac:dyDescent="0.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s="22" t="str">
        <f>IF(calls[[#This Row],[Rating rounded]]&gt;=4,"Happy")</f>
        <v>Happy</v>
      </c>
      <c r="N90" s="22" t="str">
        <f>_xlfn.XLOOKUP(calls[[#This Row],[Customer ID]],customers[Customer ID],customers[Gedner])</f>
        <v>Female</v>
      </c>
      <c r="O90" s="22">
        <f>_xlfn.XLOOKUP(calls[[#This Row],[Customer ID]],customers[Customer ID],customers[Age])</f>
        <v>43</v>
      </c>
      <c r="P90" s="22" t="str">
        <f>_xlfn.XLOOKUP(calls[[#This Row],[Customer ID]],customers[Customer ID],customers[City])</f>
        <v>Cleveland</v>
      </c>
    </row>
    <row r="91" spans="2:16" x14ac:dyDescent="0.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s="22" t="b">
        <f>IF(calls[[#This Row],[Rating rounded]]&gt;=4,"Happy")</f>
        <v>0</v>
      </c>
      <c r="N91" s="22" t="str">
        <f>_xlfn.XLOOKUP(calls[[#This Row],[Customer ID]],customers[Customer ID],customers[Gedner])</f>
        <v>Male</v>
      </c>
      <c r="O91" s="22">
        <f>_xlfn.XLOOKUP(calls[[#This Row],[Customer ID]],customers[Customer ID],customers[Age])</f>
        <v>36</v>
      </c>
      <c r="P91" s="22" t="str">
        <f>_xlfn.XLOOKUP(calls[[#This Row],[Customer ID]],customers[Customer ID],customers[City])</f>
        <v>Cincinnati</v>
      </c>
    </row>
    <row r="92" spans="2:16" x14ac:dyDescent="0.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s="22" t="str">
        <f>IF(calls[[#This Row],[Rating rounded]]&gt;=4,"Happy")</f>
        <v>Happy</v>
      </c>
      <c r="N92" s="22" t="str">
        <f>_xlfn.XLOOKUP(calls[[#This Row],[Customer ID]],customers[Customer ID],customers[Gedner])</f>
        <v>Female</v>
      </c>
      <c r="O92" s="22">
        <f>_xlfn.XLOOKUP(calls[[#This Row],[Customer ID]],customers[Customer ID],customers[Age])</f>
        <v>42</v>
      </c>
      <c r="P92" s="22" t="str">
        <f>_xlfn.XLOOKUP(calls[[#This Row],[Customer ID]],customers[Customer ID],customers[City])</f>
        <v>Cleveland</v>
      </c>
    </row>
    <row r="93" spans="2:16" x14ac:dyDescent="0.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s="22" t="str">
        <f>IF(calls[[#This Row],[Rating rounded]]&gt;=4,"Happy")</f>
        <v>Happy</v>
      </c>
      <c r="N93" s="22" t="str">
        <f>_xlfn.XLOOKUP(calls[[#This Row],[Customer ID]],customers[Customer ID],customers[Gedner])</f>
        <v>Female</v>
      </c>
      <c r="O93" s="22">
        <f>_xlfn.XLOOKUP(calls[[#This Row],[Customer ID]],customers[Customer ID],customers[Age])</f>
        <v>38</v>
      </c>
      <c r="P93" s="22" t="str">
        <f>_xlfn.XLOOKUP(calls[[#This Row],[Customer ID]],customers[Customer ID],customers[City])</f>
        <v>Columbus</v>
      </c>
    </row>
    <row r="94" spans="2:16" x14ac:dyDescent="0.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s="22" t="str">
        <f>IF(calls[[#This Row],[Rating rounded]]&gt;=4,"Happy")</f>
        <v>Happy</v>
      </c>
      <c r="N94" s="22" t="str">
        <f>_xlfn.XLOOKUP(calls[[#This Row],[Customer ID]],customers[Customer ID],customers[Gedner])</f>
        <v>Female</v>
      </c>
      <c r="O94" s="22">
        <f>_xlfn.XLOOKUP(calls[[#This Row],[Customer ID]],customers[Customer ID],customers[Age])</f>
        <v>43</v>
      </c>
      <c r="P94" s="22" t="str">
        <f>_xlfn.XLOOKUP(calls[[#This Row],[Customer ID]],customers[Customer ID],customers[City])</f>
        <v>Cleveland</v>
      </c>
    </row>
    <row r="95" spans="2:16" x14ac:dyDescent="0.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s="22" t="str">
        <f>IF(calls[[#This Row],[Rating rounded]]&gt;=4,"Happy")</f>
        <v>Happy</v>
      </c>
      <c r="N95" s="22" t="str">
        <f>_xlfn.XLOOKUP(calls[[#This Row],[Customer ID]],customers[Customer ID],customers[Gedner])</f>
        <v>Male</v>
      </c>
      <c r="O95" s="22">
        <f>_xlfn.XLOOKUP(calls[[#This Row],[Customer ID]],customers[Customer ID],customers[Age])</f>
        <v>41</v>
      </c>
      <c r="P95" s="22" t="str">
        <f>_xlfn.XLOOKUP(calls[[#This Row],[Customer ID]],customers[Customer ID],customers[City])</f>
        <v>Columbus</v>
      </c>
    </row>
    <row r="96" spans="2:16" x14ac:dyDescent="0.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s="22" t="str">
        <f>IF(calls[[#This Row],[Rating rounded]]&gt;=4,"Happy")</f>
        <v>Happy</v>
      </c>
      <c r="N96" s="22" t="str">
        <f>_xlfn.XLOOKUP(calls[[#This Row],[Customer ID]],customers[Customer ID],customers[Gedner])</f>
        <v>Female</v>
      </c>
      <c r="O96" s="22">
        <f>_xlfn.XLOOKUP(calls[[#This Row],[Customer ID]],customers[Customer ID],customers[Age])</f>
        <v>22</v>
      </c>
      <c r="P96" s="22" t="str">
        <f>_xlfn.XLOOKUP(calls[[#This Row],[Customer ID]],customers[Customer ID],customers[City])</f>
        <v>Cleveland</v>
      </c>
    </row>
    <row r="97" spans="2:16" x14ac:dyDescent="0.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s="22" t="str">
        <f>IF(calls[[#This Row],[Rating rounded]]&gt;=4,"Happy")</f>
        <v>Happy</v>
      </c>
      <c r="N97" s="22" t="str">
        <f>_xlfn.XLOOKUP(calls[[#This Row],[Customer ID]],customers[Customer ID],customers[Gedner])</f>
        <v>Female</v>
      </c>
      <c r="O97" s="22">
        <f>_xlfn.XLOOKUP(calls[[#This Row],[Customer ID]],customers[Customer ID],customers[Age])</f>
        <v>28</v>
      </c>
      <c r="P97" s="22" t="str">
        <f>_xlfn.XLOOKUP(calls[[#This Row],[Customer ID]],customers[Customer ID],customers[City])</f>
        <v>Cincinnati</v>
      </c>
    </row>
    <row r="98" spans="2:16" x14ac:dyDescent="0.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s="22" t="str">
        <f>IF(calls[[#This Row],[Rating rounded]]&gt;=4,"Happy")</f>
        <v>Happy</v>
      </c>
      <c r="N98" s="22" t="str">
        <f>_xlfn.XLOOKUP(calls[[#This Row],[Customer ID]],customers[Customer ID],customers[Gedner])</f>
        <v>Male</v>
      </c>
      <c r="O98" s="22">
        <f>_xlfn.XLOOKUP(calls[[#This Row],[Customer ID]],customers[Customer ID],customers[Age])</f>
        <v>37</v>
      </c>
      <c r="P98" s="22" t="str">
        <f>_xlfn.XLOOKUP(calls[[#This Row],[Customer ID]],customers[Customer ID],customers[City])</f>
        <v>Columbus</v>
      </c>
    </row>
    <row r="99" spans="2:16" x14ac:dyDescent="0.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s="22" t="str">
        <f>IF(calls[[#This Row],[Rating rounded]]&gt;=4,"Happy")</f>
        <v>Happy</v>
      </c>
      <c r="N99" s="22" t="str">
        <f>_xlfn.XLOOKUP(calls[[#This Row],[Customer ID]],customers[Customer ID],customers[Gedner])</f>
        <v>Male</v>
      </c>
      <c r="O99" s="22">
        <f>_xlfn.XLOOKUP(calls[[#This Row],[Customer ID]],customers[Customer ID],customers[Age])</f>
        <v>23</v>
      </c>
      <c r="P99" s="22" t="str">
        <f>_xlfn.XLOOKUP(calls[[#This Row],[Customer ID]],customers[Customer ID],customers[City])</f>
        <v>Columbus</v>
      </c>
    </row>
    <row r="100" spans="2:16" x14ac:dyDescent="0.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s="22" t="str">
        <f>IF(calls[[#This Row],[Rating rounded]]&gt;=4,"Happy")</f>
        <v>Happy</v>
      </c>
      <c r="N100" s="22" t="str">
        <f>_xlfn.XLOOKUP(calls[[#This Row],[Customer ID]],customers[Customer ID],customers[Gedner])</f>
        <v>Female</v>
      </c>
      <c r="O100" s="22">
        <f>_xlfn.XLOOKUP(calls[[#This Row],[Customer ID]],customers[Customer ID],customers[Age])</f>
        <v>28</v>
      </c>
      <c r="P100" s="22" t="str">
        <f>_xlfn.XLOOKUP(calls[[#This Row],[Customer ID]],customers[Customer ID],customers[City])</f>
        <v>Cincinnati</v>
      </c>
    </row>
    <row r="101" spans="2:16" x14ac:dyDescent="0.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s="22" t="str">
        <f>IF(calls[[#This Row],[Rating rounded]]&gt;=4,"Happy")</f>
        <v>Happy</v>
      </c>
      <c r="N101" s="22" t="str">
        <f>_xlfn.XLOOKUP(calls[[#This Row],[Customer ID]],customers[Customer ID],customers[Gedner])</f>
        <v>Male</v>
      </c>
      <c r="O101" s="22">
        <f>_xlfn.XLOOKUP(calls[[#This Row],[Customer ID]],customers[Customer ID],customers[Age])</f>
        <v>26</v>
      </c>
      <c r="P101" s="22" t="str">
        <f>_xlfn.XLOOKUP(calls[[#This Row],[Customer ID]],customers[Customer ID],customers[City])</f>
        <v>Cincinnati</v>
      </c>
    </row>
    <row r="102" spans="2:16" x14ac:dyDescent="0.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s="22" t="str">
        <f>IF(calls[[#This Row],[Rating rounded]]&gt;=4,"Happy")</f>
        <v>Happy</v>
      </c>
      <c r="N102" s="22" t="str">
        <f>_xlfn.XLOOKUP(calls[[#This Row],[Customer ID]],customers[Customer ID],customers[Gedner])</f>
        <v>Male</v>
      </c>
      <c r="O102" s="22">
        <f>_xlfn.XLOOKUP(calls[[#This Row],[Customer ID]],customers[Customer ID],customers[Age])</f>
        <v>41</v>
      </c>
      <c r="P102" s="22" t="str">
        <f>_xlfn.XLOOKUP(calls[[#This Row],[Customer ID]],customers[Customer ID],customers[City])</f>
        <v>Columbus</v>
      </c>
    </row>
    <row r="103" spans="2:16" x14ac:dyDescent="0.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s="22" t="str">
        <f>IF(calls[[#This Row],[Rating rounded]]&gt;=4,"Happy")</f>
        <v>Happy</v>
      </c>
      <c r="N103" s="22" t="str">
        <f>_xlfn.XLOOKUP(calls[[#This Row],[Customer ID]],customers[Customer ID],customers[Gedner])</f>
        <v>Male</v>
      </c>
      <c r="O103" s="22">
        <f>_xlfn.XLOOKUP(calls[[#This Row],[Customer ID]],customers[Customer ID],customers[Age])</f>
        <v>26</v>
      </c>
      <c r="P103" s="22" t="str">
        <f>_xlfn.XLOOKUP(calls[[#This Row],[Customer ID]],customers[Customer ID],customers[City])</f>
        <v>Cincinnati</v>
      </c>
    </row>
    <row r="104" spans="2:16" x14ac:dyDescent="0.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s="22" t="str">
        <f>IF(calls[[#This Row],[Rating rounded]]&gt;=4,"Happy")</f>
        <v>Happy</v>
      </c>
      <c r="N104" s="22" t="str">
        <f>_xlfn.XLOOKUP(calls[[#This Row],[Customer ID]],customers[Customer ID],customers[Gedner])</f>
        <v>Female</v>
      </c>
      <c r="O104" s="22">
        <f>_xlfn.XLOOKUP(calls[[#This Row],[Customer ID]],customers[Customer ID],customers[Age])</f>
        <v>37</v>
      </c>
      <c r="P104" s="22" t="str">
        <f>_xlfn.XLOOKUP(calls[[#This Row],[Customer ID]],customers[Customer ID],customers[City])</f>
        <v>Cleveland</v>
      </c>
    </row>
    <row r="105" spans="2:16" x14ac:dyDescent="0.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s="22" t="b">
        <f>IF(calls[[#This Row],[Rating rounded]]&gt;=4,"Happy")</f>
        <v>0</v>
      </c>
      <c r="N105" s="22" t="str">
        <f>_xlfn.XLOOKUP(calls[[#This Row],[Customer ID]],customers[Customer ID],customers[Gedner])</f>
        <v>Female</v>
      </c>
      <c r="O105" s="22">
        <f>_xlfn.XLOOKUP(calls[[#This Row],[Customer ID]],customers[Customer ID],customers[Age])</f>
        <v>28</v>
      </c>
      <c r="P105" s="22" t="str">
        <f>_xlfn.XLOOKUP(calls[[#This Row],[Customer ID]],customers[Customer ID],customers[City])</f>
        <v>Cincinnati</v>
      </c>
    </row>
    <row r="106" spans="2:16" x14ac:dyDescent="0.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s="22" t="str">
        <f>IF(calls[[#This Row],[Rating rounded]]&gt;=4,"Happy")</f>
        <v>Happy</v>
      </c>
      <c r="N106" s="22" t="str">
        <f>_xlfn.XLOOKUP(calls[[#This Row],[Customer ID]],customers[Customer ID],customers[Gedner])</f>
        <v>Female</v>
      </c>
      <c r="O106" s="22">
        <f>_xlfn.XLOOKUP(calls[[#This Row],[Customer ID]],customers[Customer ID],customers[Age])</f>
        <v>25</v>
      </c>
      <c r="P106" s="22" t="str">
        <f>_xlfn.XLOOKUP(calls[[#This Row],[Customer ID]],customers[Customer ID],customers[City])</f>
        <v>Columbus</v>
      </c>
    </row>
    <row r="107" spans="2:16" x14ac:dyDescent="0.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s="22" t="str">
        <f>IF(calls[[#This Row],[Rating rounded]]&gt;=4,"Happy")</f>
        <v>Happy</v>
      </c>
      <c r="N107" s="22" t="str">
        <f>_xlfn.XLOOKUP(calls[[#This Row],[Customer ID]],customers[Customer ID],customers[Gedner])</f>
        <v>Female</v>
      </c>
      <c r="O107" s="22">
        <f>_xlfn.XLOOKUP(calls[[#This Row],[Customer ID]],customers[Customer ID],customers[Age])</f>
        <v>38</v>
      </c>
      <c r="P107" s="22" t="str">
        <f>_xlfn.XLOOKUP(calls[[#This Row],[Customer ID]],customers[Customer ID],customers[City])</f>
        <v>Columbus</v>
      </c>
    </row>
    <row r="108" spans="2:16" x14ac:dyDescent="0.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s="22" t="str">
        <f>IF(calls[[#This Row],[Rating rounded]]&gt;=4,"Happy")</f>
        <v>Happy</v>
      </c>
      <c r="N108" s="22" t="str">
        <f>_xlfn.XLOOKUP(calls[[#This Row],[Customer ID]],customers[Customer ID],customers[Gedner])</f>
        <v>Male</v>
      </c>
      <c r="O108" s="22">
        <f>_xlfn.XLOOKUP(calls[[#This Row],[Customer ID]],customers[Customer ID],customers[Age])</f>
        <v>37</v>
      </c>
      <c r="P108" s="22" t="str">
        <f>_xlfn.XLOOKUP(calls[[#This Row],[Customer ID]],customers[Customer ID],customers[City])</f>
        <v>Columbus</v>
      </c>
    </row>
    <row r="109" spans="2:16" x14ac:dyDescent="0.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s="22" t="str">
        <f>IF(calls[[#This Row],[Rating rounded]]&gt;=4,"Happy")</f>
        <v>Happy</v>
      </c>
      <c r="N109" s="22" t="str">
        <f>_xlfn.XLOOKUP(calls[[#This Row],[Customer ID]],customers[Customer ID],customers[Gedner])</f>
        <v>Male</v>
      </c>
      <c r="O109" s="22">
        <f>_xlfn.XLOOKUP(calls[[#This Row],[Customer ID]],customers[Customer ID],customers[Age])</f>
        <v>31</v>
      </c>
      <c r="P109" s="22" t="str">
        <f>_xlfn.XLOOKUP(calls[[#This Row],[Customer ID]],customers[Customer ID],customers[City])</f>
        <v>Cleveland</v>
      </c>
    </row>
    <row r="110" spans="2:16" x14ac:dyDescent="0.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s="22" t="str">
        <f>IF(calls[[#This Row],[Rating rounded]]&gt;=4,"Happy")</f>
        <v>Happy</v>
      </c>
      <c r="N110" s="22" t="str">
        <f>_xlfn.XLOOKUP(calls[[#This Row],[Customer ID]],customers[Customer ID],customers[Gedner])</f>
        <v>Male</v>
      </c>
      <c r="O110" s="22">
        <f>_xlfn.XLOOKUP(calls[[#This Row],[Customer ID]],customers[Customer ID],customers[Age])</f>
        <v>36</v>
      </c>
      <c r="P110" s="22" t="str">
        <f>_xlfn.XLOOKUP(calls[[#This Row],[Customer ID]],customers[Customer ID],customers[City])</f>
        <v>Cincinnati</v>
      </c>
    </row>
    <row r="111" spans="2:16" x14ac:dyDescent="0.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s="22" t="b">
        <f>IF(calls[[#This Row],[Rating rounded]]&gt;=4,"Happy")</f>
        <v>0</v>
      </c>
      <c r="N111" s="22" t="str">
        <f>_xlfn.XLOOKUP(calls[[#This Row],[Customer ID]],customers[Customer ID],customers[Gedner])</f>
        <v>Female</v>
      </c>
      <c r="O111" s="22">
        <f>_xlfn.XLOOKUP(calls[[#This Row],[Customer ID]],customers[Customer ID],customers[Age])</f>
        <v>43</v>
      </c>
      <c r="P111" s="22" t="str">
        <f>_xlfn.XLOOKUP(calls[[#This Row],[Customer ID]],customers[Customer ID],customers[City])</f>
        <v>Cleveland</v>
      </c>
    </row>
    <row r="112" spans="2:16" x14ac:dyDescent="0.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s="22" t="b">
        <f>IF(calls[[#This Row],[Rating rounded]]&gt;=4,"Happy")</f>
        <v>0</v>
      </c>
      <c r="N112" s="22" t="str">
        <f>_xlfn.XLOOKUP(calls[[#This Row],[Customer ID]],customers[Customer ID],customers[Gedner])</f>
        <v>Male</v>
      </c>
      <c r="O112" s="22">
        <f>_xlfn.XLOOKUP(calls[[#This Row],[Customer ID]],customers[Customer ID],customers[Age])</f>
        <v>36</v>
      </c>
      <c r="P112" s="22" t="str">
        <f>_xlfn.XLOOKUP(calls[[#This Row],[Customer ID]],customers[Customer ID],customers[City])</f>
        <v>Cincinnati</v>
      </c>
    </row>
    <row r="113" spans="2:16" x14ac:dyDescent="0.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s="22" t="b">
        <f>IF(calls[[#This Row],[Rating rounded]]&gt;=4,"Happy")</f>
        <v>0</v>
      </c>
      <c r="N113" s="22" t="str">
        <f>_xlfn.XLOOKUP(calls[[#This Row],[Customer ID]],customers[Customer ID],customers[Gedner])</f>
        <v>Male</v>
      </c>
      <c r="O113" s="22">
        <f>_xlfn.XLOOKUP(calls[[#This Row],[Customer ID]],customers[Customer ID],customers[Age])</f>
        <v>37</v>
      </c>
      <c r="P113" s="22" t="str">
        <f>_xlfn.XLOOKUP(calls[[#This Row],[Customer ID]],customers[Customer ID],customers[City])</f>
        <v>Columbus</v>
      </c>
    </row>
    <row r="114" spans="2:16" x14ac:dyDescent="0.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s="22" t="str">
        <f>IF(calls[[#This Row],[Rating rounded]]&gt;=4,"Happy")</f>
        <v>Happy</v>
      </c>
      <c r="N114" s="22" t="str">
        <f>_xlfn.XLOOKUP(calls[[#This Row],[Customer ID]],customers[Customer ID],customers[Gedner])</f>
        <v>Male</v>
      </c>
      <c r="O114" s="22">
        <f>_xlfn.XLOOKUP(calls[[#This Row],[Customer ID]],customers[Customer ID],customers[Age])</f>
        <v>36</v>
      </c>
      <c r="P114" s="22" t="str">
        <f>_xlfn.XLOOKUP(calls[[#This Row],[Customer ID]],customers[Customer ID],customers[City])</f>
        <v>Cincinnati</v>
      </c>
    </row>
    <row r="115" spans="2:16" x14ac:dyDescent="0.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s="22" t="str">
        <f>IF(calls[[#This Row],[Rating rounded]]&gt;=4,"Happy")</f>
        <v>Happy</v>
      </c>
      <c r="N115" s="22" t="str">
        <f>_xlfn.XLOOKUP(calls[[#This Row],[Customer ID]],customers[Customer ID],customers[Gedner])</f>
        <v>Male</v>
      </c>
      <c r="O115" s="22">
        <f>_xlfn.XLOOKUP(calls[[#This Row],[Customer ID]],customers[Customer ID],customers[Age])</f>
        <v>23</v>
      </c>
      <c r="P115" s="22" t="str">
        <f>_xlfn.XLOOKUP(calls[[#This Row],[Customer ID]],customers[Customer ID],customers[City])</f>
        <v>Columbus</v>
      </c>
    </row>
    <row r="116" spans="2:16" x14ac:dyDescent="0.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s="22" t="str">
        <f>IF(calls[[#This Row],[Rating rounded]]&gt;=4,"Happy")</f>
        <v>Happy</v>
      </c>
      <c r="N116" s="22" t="str">
        <f>_xlfn.XLOOKUP(calls[[#This Row],[Customer ID]],customers[Customer ID],customers[Gedner])</f>
        <v>Female</v>
      </c>
      <c r="O116" s="22">
        <f>_xlfn.XLOOKUP(calls[[#This Row],[Customer ID]],customers[Customer ID],customers[Age])</f>
        <v>30</v>
      </c>
      <c r="P116" s="22" t="str">
        <f>_xlfn.XLOOKUP(calls[[#This Row],[Customer ID]],customers[Customer ID],customers[City])</f>
        <v>Cincinnati</v>
      </c>
    </row>
    <row r="117" spans="2:16" x14ac:dyDescent="0.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s="22" t="str">
        <f>IF(calls[[#This Row],[Rating rounded]]&gt;=4,"Happy")</f>
        <v>Happy</v>
      </c>
      <c r="N117" s="22" t="str">
        <f>_xlfn.XLOOKUP(calls[[#This Row],[Customer ID]],customers[Customer ID],customers[Gedner])</f>
        <v>Female</v>
      </c>
      <c r="O117" s="22">
        <f>_xlfn.XLOOKUP(calls[[#This Row],[Customer ID]],customers[Customer ID],customers[Age])</f>
        <v>30</v>
      </c>
      <c r="P117" s="22" t="str">
        <f>_xlfn.XLOOKUP(calls[[#This Row],[Customer ID]],customers[Customer ID],customers[City])</f>
        <v>Cleveland</v>
      </c>
    </row>
    <row r="118" spans="2:16" x14ac:dyDescent="0.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s="22" t="str">
        <f>IF(calls[[#This Row],[Rating rounded]]&gt;=4,"Happy")</f>
        <v>Happy</v>
      </c>
      <c r="N118" s="22" t="str">
        <f>_xlfn.XLOOKUP(calls[[#This Row],[Customer ID]],customers[Customer ID],customers[Gedner])</f>
        <v>Female</v>
      </c>
      <c r="O118" s="22">
        <f>_xlfn.XLOOKUP(calls[[#This Row],[Customer ID]],customers[Customer ID],customers[Age])</f>
        <v>37</v>
      </c>
      <c r="P118" s="22" t="str">
        <f>_xlfn.XLOOKUP(calls[[#This Row],[Customer ID]],customers[Customer ID],customers[City])</f>
        <v>Cleveland</v>
      </c>
    </row>
    <row r="119" spans="2:16" x14ac:dyDescent="0.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s="22" t="str">
        <f>IF(calls[[#This Row],[Rating rounded]]&gt;=4,"Happy")</f>
        <v>Happy</v>
      </c>
      <c r="N119" s="22" t="str">
        <f>_xlfn.XLOOKUP(calls[[#This Row],[Customer ID]],customers[Customer ID],customers[Gedner])</f>
        <v>Female</v>
      </c>
      <c r="O119" s="22">
        <f>_xlfn.XLOOKUP(calls[[#This Row],[Customer ID]],customers[Customer ID],customers[Age])</f>
        <v>25</v>
      </c>
      <c r="P119" s="22" t="str">
        <f>_xlfn.XLOOKUP(calls[[#This Row],[Customer ID]],customers[Customer ID],customers[City])</f>
        <v>Columbus</v>
      </c>
    </row>
    <row r="120" spans="2:16" x14ac:dyDescent="0.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s="22" t="b">
        <f>IF(calls[[#This Row],[Rating rounded]]&gt;=4,"Happy")</f>
        <v>0</v>
      </c>
      <c r="N120" s="22" t="str">
        <f>_xlfn.XLOOKUP(calls[[#This Row],[Customer ID]],customers[Customer ID],customers[Gedner])</f>
        <v>Female</v>
      </c>
      <c r="O120" s="22">
        <f>_xlfn.XLOOKUP(calls[[#This Row],[Customer ID]],customers[Customer ID],customers[Age])</f>
        <v>25</v>
      </c>
      <c r="P120" s="22" t="str">
        <f>_xlfn.XLOOKUP(calls[[#This Row],[Customer ID]],customers[Customer ID],customers[City])</f>
        <v>Columbus</v>
      </c>
    </row>
    <row r="121" spans="2:16" x14ac:dyDescent="0.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s="22" t="str">
        <f>IF(calls[[#This Row],[Rating rounded]]&gt;=4,"Happy")</f>
        <v>Happy</v>
      </c>
      <c r="N121" s="22" t="str">
        <f>_xlfn.XLOOKUP(calls[[#This Row],[Customer ID]],customers[Customer ID],customers[Gedner])</f>
        <v>Male</v>
      </c>
      <c r="O121" s="22">
        <f>_xlfn.XLOOKUP(calls[[#This Row],[Customer ID]],customers[Customer ID],customers[Age])</f>
        <v>31</v>
      </c>
      <c r="P121" s="22" t="str">
        <f>_xlfn.XLOOKUP(calls[[#This Row],[Customer ID]],customers[Customer ID],customers[City])</f>
        <v>Cleveland</v>
      </c>
    </row>
    <row r="122" spans="2:16" x14ac:dyDescent="0.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s="22" t="str">
        <f>IF(calls[[#This Row],[Rating rounded]]&gt;=4,"Happy")</f>
        <v>Happy</v>
      </c>
      <c r="N122" s="22" t="str">
        <f>_xlfn.XLOOKUP(calls[[#This Row],[Customer ID]],customers[Customer ID],customers[Gedner])</f>
        <v>Male</v>
      </c>
      <c r="O122" s="22">
        <f>_xlfn.XLOOKUP(calls[[#This Row],[Customer ID]],customers[Customer ID],customers[Age])</f>
        <v>26</v>
      </c>
      <c r="P122" s="22" t="str">
        <f>_xlfn.XLOOKUP(calls[[#This Row],[Customer ID]],customers[Customer ID],customers[City])</f>
        <v>Cincinnati</v>
      </c>
    </row>
    <row r="123" spans="2:16" x14ac:dyDescent="0.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s="22" t="str">
        <f>IF(calls[[#This Row],[Rating rounded]]&gt;=4,"Happy")</f>
        <v>Happy</v>
      </c>
      <c r="N123" s="22" t="str">
        <f>_xlfn.XLOOKUP(calls[[#This Row],[Customer ID]],customers[Customer ID],customers[Gedner])</f>
        <v>Male</v>
      </c>
      <c r="O123" s="22">
        <f>_xlfn.XLOOKUP(calls[[#This Row],[Customer ID]],customers[Customer ID],customers[Age])</f>
        <v>36</v>
      </c>
      <c r="P123" s="22" t="str">
        <f>_xlfn.XLOOKUP(calls[[#This Row],[Customer ID]],customers[Customer ID],customers[City])</f>
        <v>Cincinnati</v>
      </c>
    </row>
    <row r="124" spans="2:16" x14ac:dyDescent="0.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s="22" t="str">
        <f>IF(calls[[#This Row],[Rating rounded]]&gt;=4,"Happy")</f>
        <v>Happy</v>
      </c>
      <c r="N124" s="22" t="str">
        <f>_xlfn.XLOOKUP(calls[[#This Row],[Customer ID]],customers[Customer ID],customers[Gedner])</f>
        <v>Male</v>
      </c>
      <c r="O124" s="22">
        <f>_xlfn.XLOOKUP(calls[[#This Row],[Customer ID]],customers[Customer ID],customers[Age])</f>
        <v>37</v>
      </c>
      <c r="P124" s="22" t="str">
        <f>_xlfn.XLOOKUP(calls[[#This Row],[Customer ID]],customers[Customer ID],customers[City])</f>
        <v>Columbus</v>
      </c>
    </row>
    <row r="125" spans="2:16" x14ac:dyDescent="0.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s="22" t="b">
        <f>IF(calls[[#This Row],[Rating rounded]]&gt;=4,"Happy")</f>
        <v>0</v>
      </c>
      <c r="N125" s="22" t="str">
        <f>_xlfn.XLOOKUP(calls[[#This Row],[Customer ID]],customers[Customer ID],customers[Gedner])</f>
        <v>Female</v>
      </c>
      <c r="O125" s="22">
        <f>_xlfn.XLOOKUP(calls[[#This Row],[Customer ID]],customers[Customer ID],customers[Age])</f>
        <v>22</v>
      </c>
      <c r="P125" s="22" t="str">
        <f>_xlfn.XLOOKUP(calls[[#This Row],[Customer ID]],customers[Customer ID],customers[City])</f>
        <v>Cleveland</v>
      </c>
    </row>
    <row r="126" spans="2:16" x14ac:dyDescent="0.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s="22" t="b">
        <f>IF(calls[[#This Row],[Rating rounded]]&gt;=4,"Happy")</f>
        <v>0</v>
      </c>
      <c r="N126" s="22" t="str">
        <f>_xlfn.XLOOKUP(calls[[#This Row],[Customer ID]],customers[Customer ID],customers[Gedner])</f>
        <v>Male</v>
      </c>
      <c r="O126" s="22">
        <f>_xlfn.XLOOKUP(calls[[#This Row],[Customer ID]],customers[Customer ID],customers[Age])</f>
        <v>26</v>
      </c>
      <c r="P126" s="22" t="str">
        <f>_xlfn.XLOOKUP(calls[[#This Row],[Customer ID]],customers[Customer ID],customers[City])</f>
        <v>Cincinnati</v>
      </c>
    </row>
    <row r="127" spans="2:16" x14ac:dyDescent="0.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s="22" t="str">
        <f>IF(calls[[#This Row],[Rating rounded]]&gt;=4,"Happy")</f>
        <v>Happy</v>
      </c>
      <c r="N127" s="22" t="str">
        <f>_xlfn.XLOOKUP(calls[[#This Row],[Customer ID]],customers[Customer ID],customers[Gedner])</f>
        <v>Female</v>
      </c>
      <c r="O127" s="22">
        <f>_xlfn.XLOOKUP(calls[[#This Row],[Customer ID]],customers[Customer ID],customers[Age])</f>
        <v>30</v>
      </c>
      <c r="P127" s="22" t="str">
        <f>_xlfn.XLOOKUP(calls[[#This Row],[Customer ID]],customers[Customer ID],customers[City])</f>
        <v>Cleveland</v>
      </c>
    </row>
    <row r="128" spans="2:16" x14ac:dyDescent="0.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s="22" t="str">
        <f>IF(calls[[#This Row],[Rating rounded]]&gt;=4,"Happy")</f>
        <v>Happy</v>
      </c>
      <c r="N128" s="22" t="str">
        <f>_xlfn.XLOOKUP(calls[[#This Row],[Customer ID]],customers[Customer ID],customers[Gedner])</f>
        <v>Female</v>
      </c>
      <c r="O128" s="22">
        <f>_xlfn.XLOOKUP(calls[[#This Row],[Customer ID]],customers[Customer ID],customers[Age])</f>
        <v>43</v>
      </c>
      <c r="P128" s="22" t="str">
        <f>_xlfn.XLOOKUP(calls[[#This Row],[Customer ID]],customers[Customer ID],customers[City])</f>
        <v>Cleveland</v>
      </c>
    </row>
    <row r="129" spans="2:16" x14ac:dyDescent="0.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s="22" t="b">
        <f>IF(calls[[#This Row],[Rating rounded]]&gt;=4,"Happy")</f>
        <v>0</v>
      </c>
      <c r="N129" s="22" t="str">
        <f>_xlfn.XLOOKUP(calls[[#This Row],[Customer ID]],customers[Customer ID],customers[Gedner])</f>
        <v>Female</v>
      </c>
      <c r="O129" s="22">
        <f>_xlfn.XLOOKUP(calls[[#This Row],[Customer ID]],customers[Customer ID],customers[Age])</f>
        <v>30</v>
      </c>
      <c r="P129" s="22" t="str">
        <f>_xlfn.XLOOKUP(calls[[#This Row],[Customer ID]],customers[Customer ID],customers[City])</f>
        <v>Cincinnati</v>
      </c>
    </row>
    <row r="130" spans="2:16" x14ac:dyDescent="0.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s="22" t="str">
        <f>IF(calls[[#This Row],[Rating rounded]]&gt;=4,"Happy")</f>
        <v>Happy</v>
      </c>
      <c r="N130" s="22" t="str">
        <f>_xlfn.XLOOKUP(calls[[#This Row],[Customer ID]],customers[Customer ID],customers[Gedner])</f>
        <v>Male</v>
      </c>
      <c r="O130" s="22">
        <f>_xlfn.XLOOKUP(calls[[#This Row],[Customer ID]],customers[Customer ID],customers[Age])</f>
        <v>36</v>
      </c>
      <c r="P130" s="22" t="str">
        <f>_xlfn.XLOOKUP(calls[[#This Row],[Customer ID]],customers[Customer ID],customers[City])</f>
        <v>Cincinnati</v>
      </c>
    </row>
    <row r="131" spans="2:16" x14ac:dyDescent="0.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s="22" t="b">
        <f>IF(calls[[#This Row],[Rating rounded]]&gt;=4,"Happy")</f>
        <v>0</v>
      </c>
      <c r="N131" s="22" t="str">
        <f>_xlfn.XLOOKUP(calls[[#This Row],[Customer ID]],customers[Customer ID],customers[Gedner])</f>
        <v>Female</v>
      </c>
      <c r="O131" s="22">
        <f>_xlfn.XLOOKUP(calls[[#This Row],[Customer ID]],customers[Customer ID],customers[Age])</f>
        <v>43</v>
      </c>
      <c r="P131" s="22" t="str">
        <f>_xlfn.XLOOKUP(calls[[#This Row],[Customer ID]],customers[Customer ID],customers[City])</f>
        <v>Cleveland</v>
      </c>
    </row>
    <row r="132" spans="2:16" x14ac:dyDescent="0.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s="22" t="b">
        <f>IF(calls[[#This Row],[Rating rounded]]&gt;=4,"Happy")</f>
        <v>0</v>
      </c>
      <c r="N132" s="22" t="str">
        <f>_xlfn.XLOOKUP(calls[[#This Row],[Customer ID]],customers[Customer ID],customers[Gedner])</f>
        <v>Female</v>
      </c>
      <c r="O132" s="22">
        <f>_xlfn.XLOOKUP(calls[[#This Row],[Customer ID]],customers[Customer ID],customers[Age])</f>
        <v>22</v>
      </c>
      <c r="P132" s="22" t="str">
        <f>_xlfn.XLOOKUP(calls[[#This Row],[Customer ID]],customers[Customer ID],customers[City])</f>
        <v>Cleveland</v>
      </c>
    </row>
    <row r="133" spans="2:16" x14ac:dyDescent="0.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s="22" t="str">
        <f>IF(calls[[#This Row],[Rating rounded]]&gt;=4,"Happy")</f>
        <v>Happy</v>
      </c>
      <c r="N133" s="22" t="str">
        <f>_xlfn.XLOOKUP(calls[[#This Row],[Customer ID]],customers[Customer ID],customers[Gedner])</f>
        <v>Male</v>
      </c>
      <c r="O133" s="22">
        <f>_xlfn.XLOOKUP(calls[[#This Row],[Customer ID]],customers[Customer ID],customers[Age])</f>
        <v>36</v>
      </c>
      <c r="P133" s="22" t="str">
        <f>_xlfn.XLOOKUP(calls[[#This Row],[Customer ID]],customers[Customer ID],customers[City])</f>
        <v>Cincinnati</v>
      </c>
    </row>
    <row r="134" spans="2:16" x14ac:dyDescent="0.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s="22" t="b">
        <f>IF(calls[[#This Row],[Rating rounded]]&gt;=4,"Happy")</f>
        <v>0</v>
      </c>
      <c r="N134" s="22" t="str">
        <f>_xlfn.XLOOKUP(calls[[#This Row],[Customer ID]],customers[Customer ID],customers[Gedner])</f>
        <v>Male</v>
      </c>
      <c r="O134" s="22">
        <f>_xlfn.XLOOKUP(calls[[#This Row],[Customer ID]],customers[Customer ID],customers[Age])</f>
        <v>41</v>
      </c>
      <c r="P134" s="22" t="str">
        <f>_xlfn.XLOOKUP(calls[[#This Row],[Customer ID]],customers[Customer ID],customers[City])</f>
        <v>Columbus</v>
      </c>
    </row>
    <row r="135" spans="2:16" x14ac:dyDescent="0.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s="22" t="b">
        <f>IF(calls[[#This Row],[Rating rounded]]&gt;=4,"Happy")</f>
        <v>0</v>
      </c>
      <c r="N135" s="22" t="str">
        <f>_xlfn.XLOOKUP(calls[[#This Row],[Customer ID]],customers[Customer ID],customers[Gedner])</f>
        <v>Female</v>
      </c>
      <c r="O135" s="22">
        <f>_xlfn.XLOOKUP(calls[[#This Row],[Customer ID]],customers[Customer ID],customers[Age])</f>
        <v>30</v>
      </c>
      <c r="P135" s="22" t="str">
        <f>_xlfn.XLOOKUP(calls[[#This Row],[Customer ID]],customers[Customer ID],customers[City])</f>
        <v>Cleveland</v>
      </c>
    </row>
    <row r="136" spans="2:16" x14ac:dyDescent="0.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s="22" t="str">
        <f>IF(calls[[#This Row],[Rating rounded]]&gt;=4,"Happy")</f>
        <v>Happy</v>
      </c>
      <c r="N136" s="22" t="str">
        <f>_xlfn.XLOOKUP(calls[[#This Row],[Customer ID]],customers[Customer ID],customers[Gedner])</f>
        <v>Female</v>
      </c>
      <c r="O136" s="22">
        <f>_xlfn.XLOOKUP(calls[[#This Row],[Customer ID]],customers[Customer ID],customers[Age])</f>
        <v>43</v>
      </c>
      <c r="P136" s="22" t="str">
        <f>_xlfn.XLOOKUP(calls[[#This Row],[Customer ID]],customers[Customer ID],customers[City])</f>
        <v>Cleveland</v>
      </c>
    </row>
    <row r="137" spans="2:16" x14ac:dyDescent="0.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s="22" t="str">
        <f>IF(calls[[#This Row],[Rating rounded]]&gt;=4,"Happy")</f>
        <v>Happy</v>
      </c>
      <c r="N137" s="22" t="str">
        <f>_xlfn.XLOOKUP(calls[[#This Row],[Customer ID]],customers[Customer ID],customers[Gedner])</f>
        <v>Female</v>
      </c>
      <c r="O137" s="22">
        <f>_xlfn.XLOOKUP(calls[[#This Row],[Customer ID]],customers[Customer ID],customers[Age])</f>
        <v>42</v>
      </c>
      <c r="P137" s="22" t="str">
        <f>_xlfn.XLOOKUP(calls[[#This Row],[Customer ID]],customers[Customer ID],customers[City])</f>
        <v>Cleveland</v>
      </c>
    </row>
    <row r="138" spans="2:16" x14ac:dyDescent="0.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s="22" t="b">
        <f>IF(calls[[#This Row],[Rating rounded]]&gt;=4,"Happy")</f>
        <v>0</v>
      </c>
      <c r="N138" s="22" t="str">
        <f>_xlfn.XLOOKUP(calls[[#This Row],[Customer ID]],customers[Customer ID],customers[Gedner])</f>
        <v>Female</v>
      </c>
      <c r="O138" s="22">
        <f>_xlfn.XLOOKUP(calls[[#This Row],[Customer ID]],customers[Customer ID],customers[Age])</f>
        <v>38</v>
      </c>
      <c r="P138" s="22" t="str">
        <f>_xlfn.XLOOKUP(calls[[#This Row],[Customer ID]],customers[Customer ID],customers[City])</f>
        <v>Columbus</v>
      </c>
    </row>
    <row r="139" spans="2:16" x14ac:dyDescent="0.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s="22" t="str">
        <f>IF(calls[[#This Row],[Rating rounded]]&gt;=4,"Happy")</f>
        <v>Happy</v>
      </c>
      <c r="N139" s="22" t="str">
        <f>_xlfn.XLOOKUP(calls[[#This Row],[Customer ID]],customers[Customer ID],customers[Gedner])</f>
        <v>Female</v>
      </c>
      <c r="O139" s="22">
        <f>_xlfn.XLOOKUP(calls[[#This Row],[Customer ID]],customers[Customer ID],customers[Age])</f>
        <v>43</v>
      </c>
      <c r="P139" s="22" t="str">
        <f>_xlfn.XLOOKUP(calls[[#This Row],[Customer ID]],customers[Customer ID],customers[City])</f>
        <v>Cleveland</v>
      </c>
    </row>
    <row r="140" spans="2:16" x14ac:dyDescent="0.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s="22" t="b">
        <f>IF(calls[[#This Row],[Rating rounded]]&gt;=4,"Happy")</f>
        <v>0</v>
      </c>
      <c r="N140" s="22" t="str">
        <f>_xlfn.XLOOKUP(calls[[#This Row],[Customer ID]],customers[Customer ID],customers[Gedner])</f>
        <v>Female</v>
      </c>
      <c r="O140" s="22">
        <f>_xlfn.XLOOKUP(calls[[#This Row],[Customer ID]],customers[Customer ID],customers[Age])</f>
        <v>25</v>
      </c>
      <c r="P140" s="22" t="str">
        <f>_xlfn.XLOOKUP(calls[[#This Row],[Customer ID]],customers[Customer ID],customers[City])</f>
        <v>Columbus</v>
      </c>
    </row>
    <row r="141" spans="2:16" x14ac:dyDescent="0.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s="22" t="str">
        <f>IF(calls[[#This Row],[Rating rounded]]&gt;=4,"Happy")</f>
        <v>Happy</v>
      </c>
      <c r="N141" s="22" t="str">
        <f>_xlfn.XLOOKUP(calls[[#This Row],[Customer ID]],customers[Customer ID],customers[Gedner])</f>
        <v>Male</v>
      </c>
      <c r="O141" s="22">
        <f>_xlfn.XLOOKUP(calls[[#This Row],[Customer ID]],customers[Customer ID],customers[Age])</f>
        <v>41</v>
      </c>
      <c r="P141" s="22" t="str">
        <f>_xlfn.XLOOKUP(calls[[#This Row],[Customer ID]],customers[Customer ID],customers[City])</f>
        <v>Columbus</v>
      </c>
    </row>
    <row r="142" spans="2:16" x14ac:dyDescent="0.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s="22" t="b">
        <f>IF(calls[[#This Row],[Rating rounded]]&gt;=4,"Happy")</f>
        <v>0</v>
      </c>
      <c r="N142" s="22" t="str">
        <f>_xlfn.XLOOKUP(calls[[#This Row],[Customer ID]],customers[Customer ID],customers[Gedner])</f>
        <v>Female</v>
      </c>
      <c r="O142" s="22">
        <f>_xlfn.XLOOKUP(calls[[#This Row],[Customer ID]],customers[Customer ID],customers[Age])</f>
        <v>28</v>
      </c>
      <c r="P142" s="22" t="str">
        <f>_xlfn.XLOOKUP(calls[[#This Row],[Customer ID]],customers[Customer ID],customers[City])</f>
        <v>Cincinnati</v>
      </c>
    </row>
    <row r="143" spans="2:16" x14ac:dyDescent="0.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s="22" t="str">
        <f>IF(calls[[#This Row],[Rating rounded]]&gt;=4,"Happy")</f>
        <v>Happy</v>
      </c>
      <c r="N143" s="22" t="str">
        <f>_xlfn.XLOOKUP(calls[[#This Row],[Customer ID]],customers[Customer ID],customers[Gedner])</f>
        <v>Male</v>
      </c>
      <c r="O143" s="22">
        <f>_xlfn.XLOOKUP(calls[[#This Row],[Customer ID]],customers[Customer ID],customers[Age])</f>
        <v>23</v>
      </c>
      <c r="P143" s="22" t="str">
        <f>_xlfn.XLOOKUP(calls[[#This Row],[Customer ID]],customers[Customer ID],customers[City])</f>
        <v>Columbus</v>
      </c>
    </row>
    <row r="144" spans="2:16" x14ac:dyDescent="0.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s="22" t="str">
        <f>IF(calls[[#This Row],[Rating rounded]]&gt;=4,"Happy")</f>
        <v>Happy</v>
      </c>
      <c r="N144" s="22" t="str">
        <f>_xlfn.XLOOKUP(calls[[#This Row],[Customer ID]],customers[Customer ID],customers[Gedner])</f>
        <v>Male</v>
      </c>
      <c r="O144" s="22">
        <f>_xlfn.XLOOKUP(calls[[#This Row],[Customer ID]],customers[Customer ID],customers[Age])</f>
        <v>36</v>
      </c>
      <c r="P144" s="22" t="str">
        <f>_xlfn.XLOOKUP(calls[[#This Row],[Customer ID]],customers[Customer ID],customers[City])</f>
        <v>Cincinnati</v>
      </c>
    </row>
    <row r="145" spans="2:16" x14ac:dyDescent="0.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s="22" t="str">
        <f>IF(calls[[#This Row],[Rating rounded]]&gt;=4,"Happy")</f>
        <v>Happy</v>
      </c>
      <c r="N145" s="22" t="str">
        <f>_xlfn.XLOOKUP(calls[[#This Row],[Customer ID]],customers[Customer ID],customers[Gedner])</f>
        <v>Male</v>
      </c>
      <c r="O145" s="22">
        <f>_xlfn.XLOOKUP(calls[[#This Row],[Customer ID]],customers[Customer ID],customers[Age])</f>
        <v>23</v>
      </c>
      <c r="P145" s="22" t="str">
        <f>_xlfn.XLOOKUP(calls[[#This Row],[Customer ID]],customers[Customer ID],customers[City])</f>
        <v>Columbus</v>
      </c>
    </row>
    <row r="146" spans="2:16" x14ac:dyDescent="0.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s="22" t="b">
        <f>IF(calls[[#This Row],[Rating rounded]]&gt;=4,"Happy")</f>
        <v>0</v>
      </c>
      <c r="N146" s="22" t="str">
        <f>_xlfn.XLOOKUP(calls[[#This Row],[Customer ID]],customers[Customer ID],customers[Gedner])</f>
        <v>Female</v>
      </c>
      <c r="O146" s="22">
        <f>_xlfn.XLOOKUP(calls[[#This Row],[Customer ID]],customers[Customer ID],customers[Age])</f>
        <v>25</v>
      </c>
      <c r="P146" s="22" t="str">
        <f>_xlfn.XLOOKUP(calls[[#This Row],[Customer ID]],customers[Customer ID],customers[City])</f>
        <v>Columbus</v>
      </c>
    </row>
    <row r="147" spans="2:16" x14ac:dyDescent="0.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s="22" t="b">
        <f>IF(calls[[#This Row],[Rating rounded]]&gt;=4,"Happy")</f>
        <v>0</v>
      </c>
      <c r="N147" s="22" t="str">
        <f>_xlfn.XLOOKUP(calls[[#This Row],[Customer ID]],customers[Customer ID],customers[Gedner])</f>
        <v>Female</v>
      </c>
      <c r="O147" s="22">
        <f>_xlfn.XLOOKUP(calls[[#This Row],[Customer ID]],customers[Customer ID],customers[Age])</f>
        <v>25</v>
      </c>
      <c r="P147" s="22" t="str">
        <f>_xlfn.XLOOKUP(calls[[#This Row],[Customer ID]],customers[Customer ID],customers[City])</f>
        <v>Columbus</v>
      </c>
    </row>
    <row r="148" spans="2:16" x14ac:dyDescent="0.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s="22" t="b">
        <f>IF(calls[[#This Row],[Rating rounded]]&gt;=4,"Happy")</f>
        <v>0</v>
      </c>
      <c r="N148" s="22" t="str">
        <f>_xlfn.XLOOKUP(calls[[#This Row],[Customer ID]],customers[Customer ID],customers[Gedner])</f>
        <v>Male</v>
      </c>
      <c r="O148" s="22">
        <f>_xlfn.XLOOKUP(calls[[#This Row],[Customer ID]],customers[Customer ID],customers[Age])</f>
        <v>37</v>
      </c>
      <c r="P148" s="22" t="str">
        <f>_xlfn.XLOOKUP(calls[[#This Row],[Customer ID]],customers[Customer ID],customers[City])</f>
        <v>Columbus</v>
      </c>
    </row>
    <row r="149" spans="2:16" x14ac:dyDescent="0.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s="22" t="str">
        <f>IF(calls[[#This Row],[Rating rounded]]&gt;=4,"Happy")</f>
        <v>Happy</v>
      </c>
      <c r="N149" s="22" t="str">
        <f>_xlfn.XLOOKUP(calls[[#This Row],[Customer ID]],customers[Customer ID],customers[Gedner])</f>
        <v>Female</v>
      </c>
      <c r="O149" s="22">
        <f>_xlfn.XLOOKUP(calls[[#This Row],[Customer ID]],customers[Customer ID],customers[Age])</f>
        <v>30</v>
      </c>
      <c r="P149" s="22" t="str">
        <f>_xlfn.XLOOKUP(calls[[#This Row],[Customer ID]],customers[Customer ID],customers[City])</f>
        <v>Cincinnati</v>
      </c>
    </row>
    <row r="150" spans="2:16" x14ac:dyDescent="0.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s="22" t="str">
        <f>IF(calls[[#This Row],[Rating rounded]]&gt;=4,"Happy")</f>
        <v>Happy</v>
      </c>
      <c r="N150" s="22" t="str">
        <f>_xlfn.XLOOKUP(calls[[#This Row],[Customer ID]],customers[Customer ID],customers[Gedner])</f>
        <v>Female</v>
      </c>
      <c r="O150" s="22">
        <f>_xlfn.XLOOKUP(calls[[#This Row],[Customer ID]],customers[Customer ID],customers[Age])</f>
        <v>30</v>
      </c>
      <c r="P150" s="22" t="str">
        <f>_xlfn.XLOOKUP(calls[[#This Row],[Customer ID]],customers[Customer ID],customers[City])</f>
        <v>Cincinnati</v>
      </c>
    </row>
    <row r="151" spans="2:16" x14ac:dyDescent="0.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s="22" t="str">
        <f>IF(calls[[#This Row],[Rating rounded]]&gt;=4,"Happy")</f>
        <v>Happy</v>
      </c>
      <c r="N151" s="22" t="str">
        <f>_xlfn.XLOOKUP(calls[[#This Row],[Customer ID]],customers[Customer ID],customers[Gedner])</f>
        <v>Male</v>
      </c>
      <c r="O151" s="22">
        <f>_xlfn.XLOOKUP(calls[[#This Row],[Customer ID]],customers[Customer ID],customers[Age])</f>
        <v>23</v>
      </c>
      <c r="P151" s="22" t="str">
        <f>_xlfn.XLOOKUP(calls[[#This Row],[Customer ID]],customers[Customer ID],customers[City])</f>
        <v>Columbus</v>
      </c>
    </row>
    <row r="152" spans="2:16" x14ac:dyDescent="0.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s="22" t="str">
        <f>IF(calls[[#This Row],[Rating rounded]]&gt;=4,"Happy")</f>
        <v>Happy</v>
      </c>
      <c r="N152" s="22" t="str">
        <f>_xlfn.XLOOKUP(calls[[#This Row],[Customer ID]],customers[Customer ID],customers[Gedner])</f>
        <v>Male</v>
      </c>
      <c r="O152" s="22">
        <f>_xlfn.XLOOKUP(calls[[#This Row],[Customer ID]],customers[Customer ID],customers[Age])</f>
        <v>31</v>
      </c>
      <c r="P152" s="22" t="str">
        <f>_xlfn.XLOOKUP(calls[[#This Row],[Customer ID]],customers[Customer ID],customers[City])</f>
        <v>Cleveland</v>
      </c>
    </row>
    <row r="153" spans="2:16" x14ac:dyDescent="0.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s="22" t="str">
        <f>IF(calls[[#This Row],[Rating rounded]]&gt;=4,"Happy")</f>
        <v>Happy</v>
      </c>
      <c r="N153" s="22" t="str">
        <f>_xlfn.XLOOKUP(calls[[#This Row],[Customer ID]],customers[Customer ID],customers[Gedner])</f>
        <v>Female</v>
      </c>
      <c r="O153" s="22">
        <f>_xlfn.XLOOKUP(calls[[#This Row],[Customer ID]],customers[Customer ID],customers[Age])</f>
        <v>43</v>
      </c>
      <c r="P153" s="22" t="str">
        <f>_xlfn.XLOOKUP(calls[[#This Row],[Customer ID]],customers[Customer ID],customers[City])</f>
        <v>Cleveland</v>
      </c>
    </row>
    <row r="154" spans="2:16" x14ac:dyDescent="0.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s="22" t="b">
        <f>IF(calls[[#This Row],[Rating rounded]]&gt;=4,"Happy")</f>
        <v>0</v>
      </c>
      <c r="N154" s="22" t="str">
        <f>_xlfn.XLOOKUP(calls[[#This Row],[Customer ID]],customers[Customer ID],customers[Gedner])</f>
        <v>Male</v>
      </c>
      <c r="O154" s="22">
        <f>_xlfn.XLOOKUP(calls[[#This Row],[Customer ID]],customers[Customer ID],customers[Age])</f>
        <v>31</v>
      </c>
      <c r="P154" s="22" t="str">
        <f>_xlfn.XLOOKUP(calls[[#This Row],[Customer ID]],customers[Customer ID],customers[City])</f>
        <v>Cleveland</v>
      </c>
    </row>
    <row r="155" spans="2:16" x14ac:dyDescent="0.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s="22" t="str">
        <f>IF(calls[[#This Row],[Rating rounded]]&gt;=4,"Happy")</f>
        <v>Happy</v>
      </c>
      <c r="N155" s="22" t="str">
        <f>_xlfn.XLOOKUP(calls[[#This Row],[Customer ID]],customers[Customer ID],customers[Gedner])</f>
        <v>Male</v>
      </c>
      <c r="O155" s="22">
        <f>_xlfn.XLOOKUP(calls[[#This Row],[Customer ID]],customers[Customer ID],customers[Age])</f>
        <v>31</v>
      </c>
      <c r="P155" s="22" t="str">
        <f>_xlfn.XLOOKUP(calls[[#This Row],[Customer ID]],customers[Customer ID],customers[City])</f>
        <v>Cleveland</v>
      </c>
    </row>
    <row r="156" spans="2:16" x14ac:dyDescent="0.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s="22" t="str">
        <f>IF(calls[[#This Row],[Rating rounded]]&gt;=4,"Happy")</f>
        <v>Happy</v>
      </c>
      <c r="N156" s="22" t="str">
        <f>_xlfn.XLOOKUP(calls[[#This Row],[Customer ID]],customers[Customer ID],customers[Gedner])</f>
        <v>Female</v>
      </c>
      <c r="O156" s="22">
        <f>_xlfn.XLOOKUP(calls[[#This Row],[Customer ID]],customers[Customer ID],customers[Age])</f>
        <v>30</v>
      </c>
      <c r="P156" s="22" t="str">
        <f>_xlfn.XLOOKUP(calls[[#This Row],[Customer ID]],customers[Customer ID],customers[City])</f>
        <v>Cleveland</v>
      </c>
    </row>
    <row r="157" spans="2:16" x14ac:dyDescent="0.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s="22" t="b">
        <f>IF(calls[[#This Row],[Rating rounded]]&gt;=4,"Happy")</f>
        <v>0</v>
      </c>
      <c r="N157" s="22" t="str">
        <f>_xlfn.XLOOKUP(calls[[#This Row],[Customer ID]],customers[Customer ID],customers[Gedner])</f>
        <v>Female</v>
      </c>
      <c r="O157" s="22">
        <f>_xlfn.XLOOKUP(calls[[#This Row],[Customer ID]],customers[Customer ID],customers[Age])</f>
        <v>38</v>
      </c>
      <c r="P157" s="22" t="str">
        <f>_xlfn.XLOOKUP(calls[[#This Row],[Customer ID]],customers[Customer ID],customers[City])</f>
        <v>Columbus</v>
      </c>
    </row>
    <row r="158" spans="2:16" x14ac:dyDescent="0.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s="22" t="str">
        <f>IF(calls[[#This Row],[Rating rounded]]&gt;=4,"Happy")</f>
        <v>Happy</v>
      </c>
      <c r="N158" s="22" t="str">
        <f>_xlfn.XLOOKUP(calls[[#This Row],[Customer ID]],customers[Customer ID],customers[Gedner])</f>
        <v>Male</v>
      </c>
      <c r="O158" s="22">
        <f>_xlfn.XLOOKUP(calls[[#This Row],[Customer ID]],customers[Customer ID],customers[Age])</f>
        <v>31</v>
      </c>
      <c r="P158" s="22" t="str">
        <f>_xlfn.XLOOKUP(calls[[#This Row],[Customer ID]],customers[Customer ID],customers[City])</f>
        <v>Cleveland</v>
      </c>
    </row>
    <row r="159" spans="2:16" x14ac:dyDescent="0.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s="22" t="str">
        <f>IF(calls[[#This Row],[Rating rounded]]&gt;=4,"Happy")</f>
        <v>Happy</v>
      </c>
      <c r="N159" s="22" t="str">
        <f>_xlfn.XLOOKUP(calls[[#This Row],[Customer ID]],customers[Customer ID],customers[Gedner])</f>
        <v>Male</v>
      </c>
      <c r="O159" s="22">
        <f>_xlfn.XLOOKUP(calls[[#This Row],[Customer ID]],customers[Customer ID],customers[Age])</f>
        <v>23</v>
      </c>
      <c r="P159" s="22" t="str">
        <f>_xlfn.XLOOKUP(calls[[#This Row],[Customer ID]],customers[Customer ID],customers[City])</f>
        <v>Columbus</v>
      </c>
    </row>
    <row r="160" spans="2:16" x14ac:dyDescent="0.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s="22" t="str">
        <f>IF(calls[[#This Row],[Rating rounded]]&gt;=4,"Happy")</f>
        <v>Happy</v>
      </c>
      <c r="N160" s="22" t="str">
        <f>_xlfn.XLOOKUP(calls[[#This Row],[Customer ID]],customers[Customer ID],customers[Gedner])</f>
        <v>Male</v>
      </c>
      <c r="O160" s="22">
        <f>_xlfn.XLOOKUP(calls[[#This Row],[Customer ID]],customers[Customer ID],customers[Age])</f>
        <v>36</v>
      </c>
      <c r="P160" s="22" t="str">
        <f>_xlfn.XLOOKUP(calls[[#This Row],[Customer ID]],customers[Customer ID],customers[City])</f>
        <v>Cincinnati</v>
      </c>
    </row>
    <row r="161" spans="2:16" x14ac:dyDescent="0.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s="22" t="str">
        <f>IF(calls[[#This Row],[Rating rounded]]&gt;=4,"Happy")</f>
        <v>Happy</v>
      </c>
      <c r="N161" s="22" t="str">
        <f>_xlfn.XLOOKUP(calls[[#This Row],[Customer ID]],customers[Customer ID],customers[Gedner])</f>
        <v>Female</v>
      </c>
      <c r="O161" s="22">
        <f>_xlfn.XLOOKUP(calls[[#This Row],[Customer ID]],customers[Customer ID],customers[Age])</f>
        <v>38</v>
      </c>
      <c r="P161" s="22" t="str">
        <f>_xlfn.XLOOKUP(calls[[#This Row],[Customer ID]],customers[Customer ID],customers[City])</f>
        <v>Columbus</v>
      </c>
    </row>
    <row r="162" spans="2:16" x14ac:dyDescent="0.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s="22" t="str">
        <f>IF(calls[[#This Row],[Rating rounded]]&gt;=4,"Happy")</f>
        <v>Happy</v>
      </c>
      <c r="N162" s="22" t="str">
        <f>_xlfn.XLOOKUP(calls[[#This Row],[Customer ID]],customers[Customer ID],customers[Gedner])</f>
        <v>Female</v>
      </c>
      <c r="O162" s="22">
        <f>_xlfn.XLOOKUP(calls[[#This Row],[Customer ID]],customers[Customer ID],customers[Age])</f>
        <v>25</v>
      </c>
      <c r="P162" s="22" t="str">
        <f>_xlfn.XLOOKUP(calls[[#This Row],[Customer ID]],customers[Customer ID],customers[City])</f>
        <v>Columbus</v>
      </c>
    </row>
    <row r="163" spans="2:16" x14ac:dyDescent="0.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s="22" t="str">
        <f>IF(calls[[#This Row],[Rating rounded]]&gt;=4,"Happy")</f>
        <v>Happy</v>
      </c>
      <c r="N163" s="22" t="str">
        <f>_xlfn.XLOOKUP(calls[[#This Row],[Customer ID]],customers[Customer ID],customers[Gedner])</f>
        <v>Male</v>
      </c>
      <c r="O163" s="22">
        <f>_xlfn.XLOOKUP(calls[[#This Row],[Customer ID]],customers[Customer ID],customers[Age])</f>
        <v>37</v>
      </c>
      <c r="P163" s="22" t="str">
        <f>_xlfn.XLOOKUP(calls[[#This Row],[Customer ID]],customers[Customer ID],customers[City])</f>
        <v>Columbus</v>
      </c>
    </row>
    <row r="164" spans="2:16" x14ac:dyDescent="0.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s="22" t="str">
        <f>IF(calls[[#This Row],[Rating rounded]]&gt;=4,"Happy")</f>
        <v>Happy</v>
      </c>
      <c r="N164" s="22" t="str">
        <f>_xlfn.XLOOKUP(calls[[#This Row],[Customer ID]],customers[Customer ID],customers[Gedner])</f>
        <v>Male</v>
      </c>
      <c r="O164" s="22">
        <f>_xlfn.XLOOKUP(calls[[#This Row],[Customer ID]],customers[Customer ID],customers[Age])</f>
        <v>36</v>
      </c>
      <c r="P164" s="22" t="str">
        <f>_xlfn.XLOOKUP(calls[[#This Row],[Customer ID]],customers[Customer ID],customers[City])</f>
        <v>Cincinnati</v>
      </c>
    </row>
    <row r="165" spans="2:16" x14ac:dyDescent="0.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s="22" t="b">
        <f>IF(calls[[#This Row],[Rating rounded]]&gt;=4,"Happy")</f>
        <v>0</v>
      </c>
      <c r="N165" s="22" t="str">
        <f>_xlfn.XLOOKUP(calls[[#This Row],[Customer ID]],customers[Customer ID],customers[Gedner])</f>
        <v>Male</v>
      </c>
      <c r="O165" s="22">
        <f>_xlfn.XLOOKUP(calls[[#This Row],[Customer ID]],customers[Customer ID],customers[Age])</f>
        <v>36</v>
      </c>
      <c r="P165" s="22" t="str">
        <f>_xlfn.XLOOKUP(calls[[#This Row],[Customer ID]],customers[Customer ID],customers[City])</f>
        <v>Cincinnati</v>
      </c>
    </row>
    <row r="166" spans="2:16" x14ac:dyDescent="0.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s="22" t="str">
        <f>IF(calls[[#This Row],[Rating rounded]]&gt;=4,"Happy")</f>
        <v>Happy</v>
      </c>
      <c r="N166" s="22" t="str">
        <f>_xlfn.XLOOKUP(calls[[#This Row],[Customer ID]],customers[Customer ID],customers[Gedner])</f>
        <v>Female</v>
      </c>
      <c r="O166" s="22">
        <f>_xlfn.XLOOKUP(calls[[#This Row],[Customer ID]],customers[Customer ID],customers[Age])</f>
        <v>28</v>
      </c>
      <c r="P166" s="22" t="str">
        <f>_xlfn.XLOOKUP(calls[[#This Row],[Customer ID]],customers[Customer ID],customers[City])</f>
        <v>Cincinnati</v>
      </c>
    </row>
    <row r="167" spans="2:16" x14ac:dyDescent="0.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s="22" t="b">
        <f>IF(calls[[#This Row],[Rating rounded]]&gt;=4,"Happy")</f>
        <v>0</v>
      </c>
      <c r="N167" s="22" t="str">
        <f>_xlfn.XLOOKUP(calls[[#This Row],[Customer ID]],customers[Customer ID],customers[Gedner])</f>
        <v>Female</v>
      </c>
      <c r="O167" s="22">
        <f>_xlfn.XLOOKUP(calls[[#This Row],[Customer ID]],customers[Customer ID],customers[Age])</f>
        <v>28</v>
      </c>
      <c r="P167" s="22" t="str">
        <f>_xlfn.XLOOKUP(calls[[#This Row],[Customer ID]],customers[Customer ID],customers[City])</f>
        <v>Cincinnati</v>
      </c>
    </row>
    <row r="168" spans="2:16" x14ac:dyDescent="0.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s="22" t="b">
        <f>IF(calls[[#This Row],[Rating rounded]]&gt;=4,"Happy")</f>
        <v>0</v>
      </c>
      <c r="N168" s="22" t="str">
        <f>_xlfn.XLOOKUP(calls[[#This Row],[Customer ID]],customers[Customer ID],customers[Gedner])</f>
        <v>Male</v>
      </c>
      <c r="O168" s="22">
        <f>_xlfn.XLOOKUP(calls[[#This Row],[Customer ID]],customers[Customer ID],customers[Age])</f>
        <v>26</v>
      </c>
      <c r="P168" s="22" t="str">
        <f>_xlfn.XLOOKUP(calls[[#This Row],[Customer ID]],customers[Customer ID],customers[City])</f>
        <v>Cincinnati</v>
      </c>
    </row>
    <row r="169" spans="2:16" x14ac:dyDescent="0.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s="22" t="b">
        <f>IF(calls[[#This Row],[Rating rounded]]&gt;=4,"Happy")</f>
        <v>0</v>
      </c>
      <c r="N169" s="22" t="str">
        <f>_xlfn.XLOOKUP(calls[[#This Row],[Customer ID]],customers[Customer ID],customers[Gedner])</f>
        <v>Male</v>
      </c>
      <c r="O169" s="22">
        <f>_xlfn.XLOOKUP(calls[[#This Row],[Customer ID]],customers[Customer ID],customers[Age])</f>
        <v>41</v>
      </c>
      <c r="P169" s="22" t="str">
        <f>_xlfn.XLOOKUP(calls[[#This Row],[Customer ID]],customers[Customer ID],customers[City])</f>
        <v>Columbus</v>
      </c>
    </row>
    <row r="170" spans="2:16" x14ac:dyDescent="0.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s="22" t="b">
        <f>IF(calls[[#This Row],[Rating rounded]]&gt;=4,"Happy")</f>
        <v>0</v>
      </c>
      <c r="N170" s="22" t="str">
        <f>_xlfn.XLOOKUP(calls[[#This Row],[Customer ID]],customers[Customer ID],customers[Gedner])</f>
        <v>Male</v>
      </c>
      <c r="O170" s="22">
        <f>_xlfn.XLOOKUP(calls[[#This Row],[Customer ID]],customers[Customer ID],customers[Age])</f>
        <v>37</v>
      </c>
      <c r="P170" s="22" t="str">
        <f>_xlfn.XLOOKUP(calls[[#This Row],[Customer ID]],customers[Customer ID],customers[City])</f>
        <v>Columbus</v>
      </c>
    </row>
    <row r="171" spans="2:16" x14ac:dyDescent="0.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s="22" t="b">
        <f>IF(calls[[#This Row],[Rating rounded]]&gt;=4,"Happy")</f>
        <v>0</v>
      </c>
      <c r="N171" s="22" t="str">
        <f>_xlfn.XLOOKUP(calls[[#This Row],[Customer ID]],customers[Customer ID],customers[Gedner])</f>
        <v>Female</v>
      </c>
      <c r="O171" s="22">
        <f>_xlfn.XLOOKUP(calls[[#This Row],[Customer ID]],customers[Customer ID],customers[Age])</f>
        <v>30</v>
      </c>
      <c r="P171" s="22" t="str">
        <f>_xlfn.XLOOKUP(calls[[#This Row],[Customer ID]],customers[Customer ID],customers[City])</f>
        <v>Cincinnati</v>
      </c>
    </row>
    <row r="172" spans="2:16" x14ac:dyDescent="0.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s="22" t="b">
        <f>IF(calls[[#This Row],[Rating rounded]]&gt;=4,"Happy")</f>
        <v>0</v>
      </c>
      <c r="N172" s="22" t="str">
        <f>_xlfn.XLOOKUP(calls[[#This Row],[Customer ID]],customers[Customer ID],customers[Gedner])</f>
        <v>Male</v>
      </c>
      <c r="O172" s="22">
        <f>_xlfn.XLOOKUP(calls[[#This Row],[Customer ID]],customers[Customer ID],customers[Age])</f>
        <v>23</v>
      </c>
      <c r="P172" s="22" t="str">
        <f>_xlfn.XLOOKUP(calls[[#This Row],[Customer ID]],customers[Customer ID],customers[City])</f>
        <v>Columbus</v>
      </c>
    </row>
    <row r="173" spans="2:16" x14ac:dyDescent="0.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s="22" t="str">
        <f>IF(calls[[#This Row],[Rating rounded]]&gt;=4,"Happy")</f>
        <v>Happy</v>
      </c>
      <c r="N173" s="22" t="str">
        <f>_xlfn.XLOOKUP(calls[[#This Row],[Customer ID]],customers[Customer ID],customers[Gedner])</f>
        <v>Male</v>
      </c>
      <c r="O173" s="22">
        <f>_xlfn.XLOOKUP(calls[[#This Row],[Customer ID]],customers[Customer ID],customers[Age])</f>
        <v>36</v>
      </c>
      <c r="P173" s="22" t="str">
        <f>_xlfn.XLOOKUP(calls[[#This Row],[Customer ID]],customers[Customer ID],customers[City])</f>
        <v>Cincinnati</v>
      </c>
    </row>
    <row r="174" spans="2:16" x14ac:dyDescent="0.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s="22" t="b">
        <f>IF(calls[[#This Row],[Rating rounded]]&gt;=4,"Happy")</f>
        <v>0</v>
      </c>
      <c r="N174" s="22" t="str">
        <f>_xlfn.XLOOKUP(calls[[#This Row],[Customer ID]],customers[Customer ID],customers[Gedner])</f>
        <v>Male</v>
      </c>
      <c r="O174" s="22">
        <f>_xlfn.XLOOKUP(calls[[#This Row],[Customer ID]],customers[Customer ID],customers[Age])</f>
        <v>37</v>
      </c>
      <c r="P174" s="22" t="str">
        <f>_xlfn.XLOOKUP(calls[[#This Row],[Customer ID]],customers[Customer ID],customers[City])</f>
        <v>Columbus</v>
      </c>
    </row>
    <row r="175" spans="2:16" x14ac:dyDescent="0.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s="22" t="str">
        <f>IF(calls[[#This Row],[Rating rounded]]&gt;=4,"Happy")</f>
        <v>Happy</v>
      </c>
      <c r="N175" s="22" t="str">
        <f>_xlfn.XLOOKUP(calls[[#This Row],[Customer ID]],customers[Customer ID],customers[Gedner])</f>
        <v>Female</v>
      </c>
      <c r="O175" s="22">
        <f>_xlfn.XLOOKUP(calls[[#This Row],[Customer ID]],customers[Customer ID],customers[Age])</f>
        <v>30</v>
      </c>
      <c r="P175" s="22" t="str">
        <f>_xlfn.XLOOKUP(calls[[#This Row],[Customer ID]],customers[Customer ID],customers[City])</f>
        <v>Cleveland</v>
      </c>
    </row>
    <row r="176" spans="2:16" x14ac:dyDescent="0.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s="22" t="str">
        <f>IF(calls[[#This Row],[Rating rounded]]&gt;=4,"Happy")</f>
        <v>Happy</v>
      </c>
      <c r="N176" s="22" t="str">
        <f>_xlfn.XLOOKUP(calls[[#This Row],[Customer ID]],customers[Customer ID],customers[Gedner])</f>
        <v>Male</v>
      </c>
      <c r="O176" s="22">
        <f>_xlfn.XLOOKUP(calls[[#This Row],[Customer ID]],customers[Customer ID],customers[Age])</f>
        <v>31</v>
      </c>
      <c r="P176" s="22" t="str">
        <f>_xlfn.XLOOKUP(calls[[#This Row],[Customer ID]],customers[Customer ID],customers[City])</f>
        <v>Cleveland</v>
      </c>
    </row>
    <row r="177" spans="2:16" x14ac:dyDescent="0.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s="22" t="str">
        <f>IF(calls[[#This Row],[Rating rounded]]&gt;=4,"Happy")</f>
        <v>Happy</v>
      </c>
      <c r="N177" s="22" t="str">
        <f>_xlfn.XLOOKUP(calls[[#This Row],[Customer ID]],customers[Customer ID],customers[Gedner])</f>
        <v>Female</v>
      </c>
      <c r="O177" s="22">
        <f>_xlfn.XLOOKUP(calls[[#This Row],[Customer ID]],customers[Customer ID],customers[Age])</f>
        <v>22</v>
      </c>
      <c r="P177" s="22" t="str">
        <f>_xlfn.XLOOKUP(calls[[#This Row],[Customer ID]],customers[Customer ID],customers[City])</f>
        <v>Cleveland</v>
      </c>
    </row>
    <row r="178" spans="2:16" x14ac:dyDescent="0.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s="22" t="str">
        <f>IF(calls[[#This Row],[Rating rounded]]&gt;=4,"Happy")</f>
        <v>Happy</v>
      </c>
      <c r="N178" s="22" t="str">
        <f>_xlfn.XLOOKUP(calls[[#This Row],[Customer ID]],customers[Customer ID],customers[Gedner])</f>
        <v>Female</v>
      </c>
      <c r="O178" s="22">
        <f>_xlfn.XLOOKUP(calls[[#This Row],[Customer ID]],customers[Customer ID],customers[Age])</f>
        <v>28</v>
      </c>
      <c r="P178" s="22" t="str">
        <f>_xlfn.XLOOKUP(calls[[#This Row],[Customer ID]],customers[Customer ID],customers[City])</f>
        <v>Cincinnati</v>
      </c>
    </row>
    <row r="179" spans="2:16" x14ac:dyDescent="0.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s="22" t="str">
        <f>IF(calls[[#This Row],[Rating rounded]]&gt;=4,"Happy")</f>
        <v>Happy</v>
      </c>
      <c r="N179" s="22" t="str">
        <f>_xlfn.XLOOKUP(calls[[#This Row],[Customer ID]],customers[Customer ID],customers[Gedner])</f>
        <v>Female</v>
      </c>
      <c r="O179" s="22">
        <f>_xlfn.XLOOKUP(calls[[#This Row],[Customer ID]],customers[Customer ID],customers[Age])</f>
        <v>42</v>
      </c>
      <c r="P179" s="22" t="str">
        <f>_xlfn.XLOOKUP(calls[[#This Row],[Customer ID]],customers[Customer ID],customers[City])</f>
        <v>Cleveland</v>
      </c>
    </row>
    <row r="180" spans="2:16" x14ac:dyDescent="0.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s="22" t="str">
        <f>IF(calls[[#This Row],[Rating rounded]]&gt;=4,"Happy")</f>
        <v>Happy</v>
      </c>
      <c r="N180" s="22" t="str">
        <f>_xlfn.XLOOKUP(calls[[#This Row],[Customer ID]],customers[Customer ID],customers[Gedner])</f>
        <v>Female</v>
      </c>
      <c r="O180" s="22">
        <f>_xlfn.XLOOKUP(calls[[#This Row],[Customer ID]],customers[Customer ID],customers[Age])</f>
        <v>22</v>
      </c>
      <c r="P180" s="22" t="str">
        <f>_xlfn.XLOOKUP(calls[[#This Row],[Customer ID]],customers[Customer ID],customers[City])</f>
        <v>Cleveland</v>
      </c>
    </row>
    <row r="181" spans="2:16" x14ac:dyDescent="0.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s="22" t="str">
        <f>IF(calls[[#This Row],[Rating rounded]]&gt;=4,"Happy")</f>
        <v>Happy</v>
      </c>
      <c r="N181" s="22" t="str">
        <f>_xlfn.XLOOKUP(calls[[#This Row],[Customer ID]],customers[Customer ID],customers[Gedner])</f>
        <v>Male</v>
      </c>
      <c r="O181" s="22">
        <f>_xlfn.XLOOKUP(calls[[#This Row],[Customer ID]],customers[Customer ID],customers[Age])</f>
        <v>23</v>
      </c>
      <c r="P181" s="22" t="str">
        <f>_xlfn.XLOOKUP(calls[[#This Row],[Customer ID]],customers[Customer ID],customers[City])</f>
        <v>Columbus</v>
      </c>
    </row>
    <row r="182" spans="2:16" x14ac:dyDescent="0.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s="22" t="b">
        <f>IF(calls[[#This Row],[Rating rounded]]&gt;=4,"Happy")</f>
        <v>0</v>
      </c>
      <c r="N182" s="22" t="str">
        <f>_xlfn.XLOOKUP(calls[[#This Row],[Customer ID]],customers[Customer ID],customers[Gedner])</f>
        <v>Female</v>
      </c>
      <c r="O182" s="22">
        <f>_xlfn.XLOOKUP(calls[[#This Row],[Customer ID]],customers[Customer ID],customers[Age])</f>
        <v>22</v>
      </c>
      <c r="P182" s="22" t="str">
        <f>_xlfn.XLOOKUP(calls[[#This Row],[Customer ID]],customers[Customer ID],customers[City])</f>
        <v>Cleveland</v>
      </c>
    </row>
    <row r="183" spans="2:16" x14ac:dyDescent="0.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s="22" t="str">
        <f>IF(calls[[#This Row],[Rating rounded]]&gt;=4,"Happy")</f>
        <v>Happy</v>
      </c>
      <c r="N183" s="22" t="str">
        <f>_xlfn.XLOOKUP(calls[[#This Row],[Customer ID]],customers[Customer ID],customers[Gedner])</f>
        <v>Female</v>
      </c>
      <c r="O183" s="22">
        <f>_xlfn.XLOOKUP(calls[[#This Row],[Customer ID]],customers[Customer ID],customers[Age])</f>
        <v>28</v>
      </c>
      <c r="P183" s="22" t="str">
        <f>_xlfn.XLOOKUP(calls[[#This Row],[Customer ID]],customers[Customer ID],customers[City])</f>
        <v>Cincinnati</v>
      </c>
    </row>
    <row r="184" spans="2:16" x14ac:dyDescent="0.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s="22" t="b">
        <f>IF(calls[[#This Row],[Rating rounded]]&gt;=4,"Happy")</f>
        <v>0</v>
      </c>
      <c r="N184" s="22" t="str">
        <f>_xlfn.XLOOKUP(calls[[#This Row],[Customer ID]],customers[Customer ID],customers[Gedner])</f>
        <v>Female</v>
      </c>
      <c r="O184" s="22">
        <f>_xlfn.XLOOKUP(calls[[#This Row],[Customer ID]],customers[Customer ID],customers[Age])</f>
        <v>25</v>
      </c>
      <c r="P184" s="22" t="str">
        <f>_xlfn.XLOOKUP(calls[[#This Row],[Customer ID]],customers[Customer ID],customers[City])</f>
        <v>Columbus</v>
      </c>
    </row>
    <row r="185" spans="2:16" x14ac:dyDescent="0.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s="22" t="str">
        <f>IF(calls[[#This Row],[Rating rounded]]&gt;=4,"Happy")</f>
        <v>Happy</v>
      </c>
      <c r="N185" s="22" t="str">
        <f>_xlfn.XLOOKUP(calls[[#This Row],[Customer ID]],customers[Customer ID],customers[Gedner])</f>
        <v>Female</v>
      </c>
      <c r="O185" s="22">
        <f>_xlfn.XLOOKUP(calls[[#This Row],[Customer ID]],customers[Customer ID],customers[Age])</f>
        <v>30</v>
      </c>
      <c r="P185" s="22" t="str">
        <f>_xlfn.XLOOKUP(calls[[#This Row],[Customer ID]],customers[Customer ID],customers[City])</f>
        <v>Cincinnati</v>
      </c>
    </row>
    <row r="186" spans="2:16" x14ac:dyDescent="0.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s="22" t="str">
        <f>IF(calls[[#This Row],[Rating rounded]]&gt;=4,"Happy")</f>
        <v>Happy</v>
      </c>
      <c r="N186" s="22" t="str">
        <f>_xlfn.XLOOKUP(calls[[#This Row],[Customer ID]],customers[Customer ID],customers[Gedner])</f>
        <v>Female</v>
      </c>
      <c r="O186" s="22">
        <f>_xlfn.XLOOKUP(calls[[#This Row],[Customer ID]],customers[Customer ID],customers[Age])</f>
        <v>22</v>
      </c>
      <c r="P186" s="22" t="str">
        <f>_xlfn.XLOOKUP(calls[[#This Row],[Customer ID]],customers[Customer ID],customers[City])</f>
        <v>Cleveland</v>
      </c>
    </row>
    <row r="187" spans="2:16" x14ac:dyDescent="0.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s="22" t="str">
        <f>IF(calls[[#This Row],[Rating rounded]]&gt;=4,"Happy")</f>
        <v>Happy</v>
      </c>
      <c r="N187" s="22" t="str">
        <f>_xlfn.XLOOKUP(calls[[#This Row],[Customer ID]],customers[Customer ID],customers[Gedner])</f>
        <v>Male</v>
      </c>
      <c r="O187" s="22">
        <f>_xlfn.XLOOKUP(calls[[#This Row],[Customer ID]],customers[Customer ID],customers[Age])</f>
        <v>31</v>
      </c>
      <c r="P187" s="22" t="str">
        <f>_xlfn.XLOOKUP(calls[[#This Row],[Customer ID]],customers[Customer ID],customers[City])</f>
        <v>Cleveland</v>
      </c>
    </row>
    <row r="188" spans="2:16" x14ac:dyDescent="0.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s="22" t="b">
        <f>IF(calls[[#This Row],[Rating rounded]]&gt;=4,"Happy")</f>
        <v>0</v>
      </c>
      <c r="N188" s="22" t="str">
        <f>_xlfn.XLOOKUP(calls[[#This Row],[Customer ID]],customers[Customer ID],customers[Gedner])</f>
        <v>Male</v>
      </c>
      <c r="O188" s="22">
        <f>_xlfn.XLOOKUP(calls[[#This Row],[Customer ID]],customers[Customer ID],customers[Age])</f>
        <v>31</v>
      </c>
      <c r="P188" s="22" t="str">
        <f>_xlfn.XLOOKUP(calls[[#This Row],[Customer ID]],customers[Customer ID],customers[City])</f>
        <v>Cleveland</v>
      </c>
    </row>
    <row r="189" spans="2:16" x14ac:dyDescent="0.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s="22" t="str">
        <f>IF(calls[[#This Row],[Rating rounded]]&gt;=4,"Happy")</f>
        <v>Happy</v>
      </c>
      <c r="N189" s="22" t="str">
        <f>_xlfn.XLOOKUP(calls[[#This Row],[Customer ID]],customers[Customer ID],customers[Gedner])</f>
        <v>Female</v>
      </c>
      <c r="O189" s="22">
        <f>_xlfn.XLOOKUP(calls[[#This Row],[Customer ID]],customers[Customer ID],customers[Age])</f>
        <v>37</v>
      </c>
      <c r="P189" s="22" t="str">
        <f>_xlfn.XLOOKUP(calls[[#This Row],[Customer ID]],customers[Customer ID],customers[City])</f>
        <v>Cleveland</v>
      </c>
    </row>
    <row r="190" spans="2:16" x14ac:dyDescent="0.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s="22" t="str">
        <f>IF(calls[[#This Row],[Rating rounded]]&gt;=4,"Happy")</f>
        <v>Happy</v>
      </c>
      <c r="N190" s="22" t="str">
        <f>_xlfn.XLOOKUP(calls[[#This Row],[Customer ID]],customers[Customer ID],customers[Gedner])</f>
        <v>Female</v>
      </c>
      <c r="O190" s="22">
        <f>_xlfn.XLOOKUP(calls[[#This Row],[Customer ID]],customers[Customer ID],customers[Age])</f>
        <v>37</v>
      </c>
      <c r="P190" s="22" t="str">
        <f>_xlfn.XLOOKUP(calls[[#This Row],[Customer ID]],customers[Customer ID],customers[City])</f>
        <v>Cleveland</v>
      </c>
    </row>
    <row r="191" spans="2:16" x14ac:dyDescent="0.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s="22" t="str">
        <f>IF(calls[[#This Row],[Rating rounded]]&gt;=4,"Happy")</f>
        <v>Happy</v>
      </c>
      <c r="N191" s="22" t="str">
        <f>_xlfn.XLOOKUP(calls[[#This Row],[Customer ID]],customers[Customer ID],customers[Gedner])</f>
        <v>Male</v>
      </c>
      <c r="O191" s="22">
        <f>_xlfn.XLOOKUP(calls[[#This Row],[Customer ID]],customers[Customer ID],customers[Age])</f>
        <v>31</v>
      </c>
      <c r="P191" s="22" t="str">
        <f>_xlfn.XLOOKUP(calls[[#This Row],[Customer ID]],customers[Customer ID],customers[City])</f>
        <v>Cleveland</v>
      </c>
    </row>
    <row r="192" spans="2:16" x14ac:dyDescent="0.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s="22" t="b">
        <f>IF(calls[[#This Row],[Rating rounded]]&gt;=4,"Happy")</f>
        <v>0</v>
      </c>
      <c r="N192" s="22" t="str">
        <f>_xlfn.XLOOKUP(calls[[#This Row],[Customer ID]],customers[Customer ID],customers[Gedner])</f>
        <v>Male</v>
      </c>
      <c r="O192" s="22">
        <f>_xlfn.XLOOKUP(calls[[#This Row],[Customer ID]],customers[Customer ID],customers[Age])</f>
        <v>41</v>
      </c>
      <c r="P192" s="22" t="str">
        <f>_xlfn.XLOOKUP(calls[[#This Row],[Customer ID]],customers[Customer ID],customers[City])</f>
        <v>Columbus</v>
      </c>
    </row>
    <row r="193" spans="2:16" x14ac:dyDescent="0.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s="22" t="b">
        <f>IF(calls[[#This Row],[Rating rounded]]&gt;=4,"Happy")</f>
        <v>0</v>
      </c>
      <c r="N193" s="22" t="str">
        <f>_xlfn.XLOOKUP(calls[[#This Row],[Customer ID]],customers[Customer ID],customers[Gedner])</f>
        <v>Female</v>
      </c>
      <c r="O193" s="22">
        <f>_xlfn.XLOOKUP(calls[[#This Row],[Customer ID]],customers[Customer ID],customers[Age])</f>
        <v>42</v>
      </c>
      <c r="P193" s="22" t="str">
        <f>_xlfn.XLOOKUP(calls[[#This Row],[Customer ID]],customers[Customer ID],customers[City])</f>
        <v>Cleveland</v>
      </c>
    </row>
    <row r="194" spans="2:16" x14ac:dyDescent="0.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s="22" t="b">
        <f>IF(calls[[#This Row],[Rating rounded]]&gt;=4,"Happy")</f>
        <v>0</v>
      </c>
      <c r="N194" s="22" t="str">
        <f>_xlfn.XLOOKUP(calls[[#This Row],[Customer ID]],customers[Customer ID],customers[Gedner])</f>
        <v>Male</v>
      </c>
      <c r="O194" s="22">
        <f>_xlfn.XLOOKUP(calls[[#This Row],[Customer ID]],customers[Customer ID],customers[Age])</f>
        <v>23</v>
      </c>
      <c r="P194" s="22" t="str">
        <f>_xlfn.XLOOKUP(calls[[#This Row],[Customer ID]],customers[Customer ID],customers[City])</f>
        <v>Columbus</v>
      </c>
    </row>
    <row r="195" spans="2:16" x14ac:dyDescent="0.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s="22" t="b">
        <f>IF(calls[[#This Row],[Rating rounded]]&gt;=4,"Happy")</f>
        <v>0</v>
      </c>
      <c r="N195" s="22" t="str">
        <f>_xlfn.XLOOKUP(calls[[#This Row],[Customer ID]],customers[Customer ID],customers[Gedner])</f>
        <v>Female</v>
      </c>
      <c r="O195" s="22">
        <f>_xlfn.XLOOKUP(calls[[#This Row],[Customer ID]],customers[Customer ID],customers[Age])</f>
        <v>42</v>
      </c>
      <c r="P195" s="22" t="str">
        <f>_xlfn.XLOOKUP(calls[[#This Row],[Customer ID]],customers[Customer ID],customers[City])</f>
        <v>Cleveland</v>
      </c>
    </row>
    <row r="196" spans="2:16" x14ac:dyDescent="0.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s="22" t="str">
        <f>IF(calls[[#This Row],[Rating rounded]]&gt;=4,"Happy")</f>
        <v>Happy</v>
      </c>
      <c r="N196" s="22" t="str">
        <f>_xlfn.XLOOKUP(calls[[#This Row],[Customer ID]],customers[Customer ID],customers[Gedner])</f>
        <v>Female</v>
      </c>
      <c r="O196" s="22">
        <f>_xlfn.XLOOKUP(calls[[#This Row],[Customer ID]],customers[Customer ID],customers[Age])</f>
        <v>37</v>
      </c>
      <c r="P196" s="22" t="str">
        <f>_xlfn.XLOOKUP(calls[[#This Row],[Customer ID]],customers[Customer ID],customers[City])</f>
        <v>Cleveland</v>
      </c>
    </row>
    <row r="197" spans="2:16" x14ac:dyDescent="0.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s="22" t="str">
        <f>IF(calls[[#This Row],[Rating rounded]]&gt;=4,"Happy")</f>
        <v>Happy</v>
      </c>
      <c r="N197" s="22" t="str">
        <f>_xlfn.XLOOKUP(calls[[#This Row],[Customer ID]],customers[Customer ID],customers[Gedner])</f>
        <v>Female</v>
      </c>
      <c r="O197" s="22">
        <f>_xlfn.XLOOKUP(calls[[#This Row],[Customer ID]],customers[Customer ID],customers[Age])</f>
        <v>22</v>
      </c>
      <c r="P197" s="22" t="str">
        <f>_xlfn.XLOOKUP(calls[[#This Row],[Customer ID]],customers[Customer ID],customers[City])</f>
        <v>Cleveland</v>
      </c>
    </row>
    <row r="198" spans="2:16" x14ac:dyDescent="0.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s="22" t="b">
        <f>IF(calls[[#This Row],[Rating rounded]]&gt;=4,"Happy")</f>
        <v>0</v>
      </c>
      <c r="N198" s="22" t="str">
        <f>_xlfn.XLOOKUP(calls[[#This Row],[Customer ID]],customers[Customer ID],customers[Gedner])</f>
        <v>Male</v>
      </c>
      <c r="O198" s="22">
        <f>_xlfn.XLOOKUP(calls[[#This Row],[Customer ID]],customers[Customer ID],customers[Age])</f>
        <v>36</v>
      </c>
      <c r="P198" s="22" t="str">
        <f>_xlfn.XLOOKUP(calls[[#This Row],[Customer ID]],customers[Customer ID],customers[City])</f>
        <v>Cincinnati</v>
      </c>
    </row>
    <row r="199" spans="2:16" x14ac:dyDescent="0.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s="22" t="str">
        <f>IF(calls[[#This Row],[Rating rounded]]&gt;=4,"Happy")</f>
        <v>Happy</v>
      </c>
      <c r="N199" s="22" t="str">
        <f>_xlfn.XLOOKUP(calls[[#This Row],[Customer ID]],customers[Customer ID],customers[Gedner])</f>
        <v>Female</v>
      </c>
      <c r="O199" s="22">
        <f>_xlfn.XLOOKUP(calls[[#This Row],[Customer ID]],customers[Customer ID],customers[Age])</f>
        <v>22</v>
      </c>
      <c r="P199" s="22" t="str">
        <f>_xlfn.XLOOKUP(calls[[#This Row],[Customer ID]],customers[Customer ID],customers[City])</f>
        <v>Cleveland</v>
      </c>
    </row>
    <row r="200" spans="2:16" x14ac:dyDescent="0.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s="22" t="str">
        <f>IF(calls[[#This Row],[Rating rounded]]&gt;=4,"Happy")</f>
        <v>Happy</v>
      </c>
      <c r="N200" s="22" t="str">
        <f>_xlfn.XLOOKUP(calls[[#This Row],[Customer ID]],customers[Customer ID],customers[Gedner])</f>
        <v>Male</v>
      </c>
      <c r="O200" s="22">
        <f>_xlfn.XLOOKUP(calls[[#This Row],[Customer ID]],customers[Customer ID],customers[Age])</f>
        <v>37</v>
      </c>
      <c r="P200" s="22" t="str">
        <f>_xlfn.XLOOKUP(calls[[#This Row],[Customer ID]],customers[Customer ID],customers[City])</f>
        <v>Columbus</v>
      </c>
    </row>
    <row r="201" spans="2:16" x14ac:dyDescent="0.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s="22" t="str">
        <f>IF(calls[[#This Row],[Rating rounded]]&gt;=4,"Happy")</f>
        <v>Happy</v>
      </c>
      <c r="N201" s="22" t="str">
        <f>_xlfn.XLOOKUP(calls[[#This Row],[Customer ID]],customers[Customer ID],customers[Gedner])</f>
        <v>Female</v>
      </c>
      <c r="O201" s="22">
        <f>_xlfn.XLOOKUP(calls[[#This Row],[Customer ID]],customers[Customer ID],customers[Age])</f>
        <v>22</v>
      </c>
      <c r="P201" s="22" t="str">
        <f>_xlfn.XLOOKUP(calls[[#This Row],[Customer ID]],customers[Customer ID],customers[City])</f>
        <v>Cleveland</v>
      </c>
    </row>
    <row r="202" spans="2:16" x14ac:dyDescent="0.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s="22" t="str">
        <f>IF(calls[[#This Row],[Rating rounded]]&gt;=4,"Happy")</f>
        <v>Happy</v>
      </c>
      <c r="N202" s="22" t="str">
        <f>_xlfn.XLOOKUP(calls[[#This Row],[Customer ID]],customers[Customer ID],customers[Gedner])</f>
        <v>Male</v>
      </c>
      <c r="O202" s="22">
        <f>_xlfn.XLOOKUP(calls[[#This Row],[Customer ID]],customers[Customer ID],customers[Age])</f>
        <v>36</v>
      </c>
      <c r="P202" s="22" t="str">
        <f>_xlfn.XLOOKUP(calls[[#This Row],[Customer ID]],customers[Customer ID],customers[City])</f>
        <v>Cincinnati</v>
      </c>
    </row>
    <row r="203" spans="2:16" x14ac:dyDescent="0.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s="22" t="str">
        <f>IF(calls[[#This Row],[Rating rounded]]&gt;=4,"Happy")</f>
        <v>Happy</v>
      </c>
      <c r="N203" s="22" t="str">
        <f>_xlfn.XLOOKUP(calls[[#This Row],[Customer ID]],customers[Customer ID],customers[Gedner])</f>
        <v>Male</v>
      </c>
      <c r="O203" s="22">
        <f>_xlfn.XLOOKUP(calls[[#This Row],[Customer ID]],customers[Customer ID],customers[Age])</f>
        <v>26</v>
      </c>
      <c r="P203" s="22" t="str">
        <f>_xlfn.XLOOKUP(calls[[#This Row],[Customer ID]],customers[Customer ID],customers[City])</f>
        <v>Cincinnati</v>
      </c>
    </row>
    <row r="204" spans="2:16" x14ac:dyDescent="0.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s="22" t="str">
        <f>IF(calls[[#This Row],[Rating rounded]]&gt;=4,"Happy")</f>
        <v>Happy</v>
      </c>
      <c r="N204" s="22" t="str">
        <f>_xlfn.XLOOKUP(calls[[#This Row],[Customer ID]],customers[Customer ID],customers[Gedner])</f>
        <v>Male</v>
      </c>
      <c r="O204" s="22">
        <f>_xlfn.XLOOKUP(calls[[#This Row],[Customer ID]],customers[Customer ID],customers[Age])</f>
        <v>37</v>
      </c>
      <c r="P204" s="22" t="str">
        <f>_xlfn.XLOOKUP(calls[[#This Row],[Customer ID]],customers[Customer ID],customers[City])</f>
        <v>Columbus</v>
      </c>
    </row>
    <row r="205" spans="2:16" x14ac:dyDescent="0.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s="22" t="b">
        <f>IF(calls[[#This Row],[Rating rounded]]&gt;=4,"Happy")</f>
        <v>0</v>
      </c>
      <c r="N205" s="22" t="str">
        <f>_xlfn.XLOOKUP(calls[[#This Row],[Customer ID]],customers[Customer ID],customers[Gedner])</f>
        <v>Male</v>
      </c>
      <c r="O205" s="22">
        <f>_xlfn.XLOOKUP(calls[[#This Row],[Customer ID]],customers[Customer ID],customers[Age])</f>
        <v>41</v>
      </c>
      <c r="P205" s="22" t="str">
        <f>_xlfn.XLOOKUP(calls[[#This Row],[Customer ID]],customers[Customer ID],customers[City])</f>
        <v>Columbus</v>
      </c>
    </row>
    <row r="206" spans="2:16" x14ac:dyDescent="0.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s="22" t="str">
        <f>IF(calls[[#This Row],[Rating rounded]]&gt;=4,"Happy")</f>
        <v>Happy</v>
      </c>
      <c r="N206" s="22" t="str">
        <f>_xlfn.XLOOKUP(calls[[#This Row],[Customer ID]],customers[Customer ID],customers[Gedner])</f>
        <v>Male</v>
      </c>
      <c r="O206" s="22">
        <f>_xlfn.XLOOKUP(calls[[#This Row],[Customer ID]],customers[Customer ID],customers[Age])</f>
        <v>41</v>
      </c>
      <c r="P206" s="22" t="str">
        <f>_xlfn.XLOOKUP(calls[[#This Row],[Customer ID]],customers[Customer ID],customers[City])</f>
        <v>Columbus</v>
      </c>
    </row>
    <row r="207" spans="2:16" x14ac:dyDescent="0.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s="22" t="str">
        <f>IF(calls[[#This Row],[Rating rounded]]&gt;=4,"Happy")</f>
        <v>Happy</v>
      </c>
      <c r="N207" s="22" t="str">
        <f>_xlfn.XLOOKUP(calls[[#This Row],[Customer ID]],customers[Customer ID],customers[Gedner])</f>
        <v>Female</v>
      </c>
      <c r="O207" s="22">
        <f>_xlfn.XLOOKUP(calls[[#This Row],[Customer ID]],customers[Customer ID],customers[Age])</f>
        <v>25</v>
      </c>
      <c r="P207" s="22" t="str">
        <f>_xlfn.XLOOKUP(calls[[#This Row],[Customer ID]],customers[Customer ID],customers[City])</f>
        <v>Columbus</v>
      </c>
    </row>
    <row r="208" spans="2:16" x14ac:dyDescent="0.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s="22" t="b">
        <f>IF(calls[[#This Row],[Rating rounded]]&gt;=4,"Happy")</f>
        <v>0</v>
      </c>
      <c r="N208" s="22" t="str">
        <f>_xlfn.XLOOKUP(calls[[#This Row],[Customer ID]],customers[Customer ID],customers[Gedner])</f>
        <v>Female</v>
      </c>
      <c r="O208" s="22">
        <f>_xlfn.XLOOKUP(calls[[#This Row],[Customer ID]],customers[Customer ID],customers[Age])</f>
        <v>37</v>
      </c>
      <c r="P208" s="22" t="str">
        <f>_xlfn.XLOOKUP(calls[[#This Row],[Customer ID]],customers[Customer ID],customers[City])</f>
        <v>Cleveland</v>
      </c>
    </row>
    <row r="209" spans="2:16" x14ac:dyDescent="0.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s="22" t="str">
        <f>IF(calls[[#This Row],[Rating rounded]]&gt;=4,"Happy")</f>
        <v>Happy</v>
      </c>
      <c r="N209" s="22" t="str">
        <f>_xlfn.XLOOKUP(calls[[#This Row],[Customer ID]],customers[Customer ID],customers[Gedner])</f>
        <v>Female</v>
      </c>
      <c r="O209" s="22">
        <f>_xlfn.XLOOKUP(calls[[#This Row],[Customer ID]],customers[Customer ID],customers[Age])</f>
        <v>30</v>
      </c>
      <c r="P209" s="22" t="str">
        <f>_xlfn.XLOOKUP(calls[[#This Row],[Customer ID]],customers[Customer ID],customers[City])</f>
        <v>Cincinnati</v>
      </c>
    </row>
    <row r="210" spans="2:16" x14ac:dyDescent="0.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s="22" t="str">
        <f>IF(calls[[#This Row],[Rating rounded]]&gt;=4,"Happy")</f>
        <v>Happy</v>
      </c>
      <c r="N210" s="22" t="str">
        <f>_xlfn.XLOOKUP(calls[[#This Row],[Customer ID]],customers[Customer ID],customers[Gedner])</f>
        <v>Female</v>
      </c>
      <c r="O210" s="22">
        <f>_xlfn.XLOOKUP(calls[[#This Row],[Customer ID]],customers[Customer ID],customers[Age])</f>
        <v>42</v>
      </c>
      <c r="P210" s="22" t="str">
        <f>_xlfn.XLOOKUP(calls[[#This Row],[Customer ID]],customers[Customer ID],customers[City])</f>
        <v>Cleveland</v>
      </c>
    </row>
    <row r="211" spans="2:16" x14ac:dyDescent="0.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s="22" t="b">
        <f>IF(calls[[#This Row],[Rating rounded]]&gt;=4,"Happy")</f>
        <v>0</v>
      </c>
      <c r="N211" s="22" t="str">
        <f>_xlfn.XLOOKUP(calls[[#This Row],[Customer ID]],customers[Customer ID],customers[Gedner])</f>
        <v>Female</v>
      </c>
      <c r="O211" s="22">
        <f>_xlfn.XLOOKUP(calls[[#This Row],[Customer ID]],customers[Customer ID],customers[Age])</f>
        <v>28</v>
      </c>
      <c r="P211" s="22" t="str">
        <f>_xlfn.XLOOKUP(calls[[#This Row],[Customer ID]],customers[Customer ID],customers[City])</f>
        <v>Cincinnati</v>
      </c>
    </row>
    <row r="212" spans="2:16" x14ac:dyDescent="0.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s="22" t="str">
        <f>IF(calls[[#This Row],[Rating rounded]]&gt;=4,"Happy")</f>
        <v>Happy</v>
      </c>
      <c r="N212" s="22" t="str">
        <f>_xlfn.XLOOKUP(calls[[#This Row],[Customer ID]],customers[Customer ID],customers[Gedner])</f>
        <v>Female</v>
      </c>
      <c r="O212" s="22">
        <f>_xlfn.XLOOKUP(calls[[#This Row],[Customer ID]],customers[Customer ID],customers[Age])</f>
        <v>42</v>
      </c>
      <c r="P212" s="22" t="str">
        <f>_xlfn.XLOOKUP(calls[[#This Row],[Customer ID]],customers[Customer ID],customers[City])</f>
        <v>Cleveland</v>
      </c>
    </row>
    <row r="213" spans="2:16" x14ac:dyDescent="0.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s="22" t="str">
        <f>IF(calls[[#This Row],[Rating rounded]]&gt;=4,"Happy")</f>
        <v>Happy</v>
      </c>
      <c r="N213" s="22" t="str">
        <f>_xlfn.XLOOKUP(calls[[#This Row],[Customer ID]],customers[Customer ID],customers[Gedner])</f>
        <v>Male</v>
      </c>
      <c r="O213" s="22">
        <f>_xlfn.XLOOKUP(calls[[#This Row],[Customer ID]],customers[Customer ID],customers[Age])</f>
        <v>41</v>
      </c>
      <c r="P213" s="22" t="str">
        <f>_xlfn.XLOOKUP(calls[[#This Row],[Customer ID]],customers[Customer ID],customers[City])</f>
        <v>Columbus</v>
      </c>
    </row>
    <row r="214" spans="2:16" x14ac:dyDescent="0.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s="22" t="str">
        <f>IF(calls[[#This Row],[Rating rounded]]&gt;=4,"Happy")</f>
        <v>Happy</v>
      </c>
      <c r="N214" s="22" t="str">
        <f>_xlfn.XLOOKUP(calls[[#This Row],[Customer ID]],customers[Customer ID],customers[Gedner])</f>
        <v>Female</v>
      </c>
      <c r="O214" s="22">
        <f>_xlfn.XLOOKUP(calls[[#This Row],[Customer ID]],customers[Customer ID],customers[Age])</f>
        <v>37</v>
      </c>
      <c r="P214" s="22" t="str">
        <f>_xlfn.XLOOKUP(calls[[#This Row],[Customer ID]],customers[Customer ID],customers[City])</f>
        <v>Cleveland</v>
      </c>
    </row>
    <row r="215" spans="2:16" x14ac:dyDescent="0.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s="22" t="str">
        <f>IF(calls[[#This Row],[Rating rounded]]&gt;=4,"Happy")</f>
        <v>Happy</v>
      </c>
      <c r="N215" s="22" t="str">
        <f>_xlfn.XLOOKUP(calls[[#This Row],[Customer ID]],customers[Customer ID],customers[Gedner])</f>
        <v>Female</v>
      </c>
      <c r="O215" s="22">
        <f>_xlfn.XLOOKUP(calls[[#This Row],[Customer ID]],customers[Customer ID],customers[Age])</f>
        <v>28</v>
      </c>
      <c r="P215" s="22" t="str">
        <f>_xlfn.XLOOKUP(calls[[#This Row],[Customer ID]],customers[Customer ID],customers[City])</f>
        <v>Cincinnati</v>
      </c>
    </row>
    <row r="216" spans="2:16" x14ac:dyDescent="0.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s="22" t="b">
        <f>IF(calls[[#This Row],[Rating rounded]]&gt;=4,"Happy")</f>
        <v>0</v>
      </c>
      <c r="N216" s="22" t="str">
        <f>_xlfn.XLOOKUP(calls[[#This Row],[Customer ID]],customers[Customer ID],customers[Gedner])</f>
        <v>Male</v>
      </c>
      <c r="O216" s="22">
        <f>_xlfn.XLOOKUP(calls[[#This Row],[Customer ID]],customers[Customer ID],customers[Age])</f>
        <v>37</v>
      </c>
      <c r="P216" s="22" t="str">
        <f>_xlfn.XLOOKUP(calls[[#This Row],[Customer ID]],customers[Customer ID],customers[City])</f>
        <v>Columbus</v>
      </c>
    </row>
    <row r="217" spans="2:16" x14ac:dyDescent="0.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s="22" t="str">
        <f>IF(calls[[#This Row],[Rating rounded]]&gt;=4,"Happy")</f>
        <v>Happy</v>
      </c>
      <c r="N217" s="22" t="str">
        <f>_xlfn.XLOOKUP(calls[[#This Row],[Customer ID]],customers[Customer ID],customers[Gedner])</f>
        <v>Female</v>
      </c>
      <c r="O217" s="22">
        <f>_xlfn.XLOOKUP(calls[[#This Row],[Customer ID]],customers[Customer ID],customers[Age])</f>
        <v>28</v>
      </c>
      <c r="P217" s="22" t="str">
        <f>_xlfn.XLOOKUP(calls[[#This Row],[Customer ID]],customers[Customer ID],customers[City])</f>
        <v>Cincinnati</v>
      </c>
    </row>
    <row r="218" spans="2:16" x14ac:dyDescent="0.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s="22" t="str">
        <f>IF(calls[[#This Row],[Rating rounded]]&gt;=4,"Happy")</f>
        <v>Happy</v>
      </c>
      <c r="N218" s="22" t="str">
        <f>_xlfn.XLOOKUP(calls[[#This Row],[Customer ID]],customers[Customer ID],customers[Gedner])</f>
        <v>Male</v>
      </c>
      <c r="O218" s="22">
        <f>_xlfn.XLOOKUP(calls[[#This Row],[Customer ID]],customers[Customer ID],customers[Age])</f>
        <v>26</v>
      </c>
      <c r="P218" s="22" t="str">
        <f>_xlfn.XLOOKUP(calls[[#This Row],[Customer ID]],customers[Customer ID],customers[City])</f>
        <v>Cincinnati</v>
      </c>
    </row>
    <row r="219" spans="2:16" x14ac:dyDescent="0.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s="22" t="str">
        <f>IF(calls[[#This Row],[Rating rounded]]&gt;=4,"Happy")</f>
        <v>Happy</v>
      </c>
      <c r="N219" s="22" t="str">
        <f>_xlfn.XLOOKUP(calls[[#This Row],[Customer ID]],customers[Customer ID],customers[Gedner])</f>
        <v>Female</v>
      </c>
      <c r="O219" s="22">
        <f>_xlfn.XLOOKUP(calls[[#This Row],[Customer ID]],customers[Customer ID],customers[Age])</f>
        <v>37</v>
      </c>
      <c r="P219" s="22" t="str">
        <f>_xlfn.XLOOKUP(calls[[#This Row],[Customer ID]],customers[Customer ID],customers[City])</f>
        <v>Cleveland</v>
      </c>
    </row>
    <row r="220" spans="2:16" x14ac:dyDescent="0.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s="22" t="str">
        <f>IF(calls[[#This Row],[Rating rounded]]&gt;=4,"Happy")</f>
        <v>Happy</v>
      </c>
      <c r="N220" s="22" t="str">
        <f>_xlfn.XLOOKUP(calls[[#This Row],[Customer ID]],customers[Customer ID],customers[Gedner])</f>
        <v>Female</v>
      </c>
      <c r="O220" s="22">
        <f>_xlfn.XLOOKUP(calls[[#This Row],[Customer ID]],customers[Customer ID],customers[Age])</f>
        <v>37</v>
      </c>
      <c r="P220" s="22" t="str">
        <f>_xlfn.XLOOKUP(calls[[#This Row],[Customer ID]],customers[Customer ID],customers[City])</f>
        <v>Cleveland</v>
      </c>
    </row>
    <row r="221" spans="2:16" x14ac:dyDescent="0.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s="22" t="b">
        <f>IF(calls[[#This Row],[Rating rounded]]&gt;=4,"Happy")</f>
        <v>0</v>
      </c>
      <c r="N221" s="22" t="str">
        <f>_xlfn.XLOOKUP(calls[[#This Row],[Customer ID]],customers[Customer ID],customers[Gedner])</f>
        <v>Female</v>
      </c>
      <c r="O221" s="22">
        <f>_xlfn.XLOOKUP(calls[[#This Row],[Customer ID]],customers[Customer ID],customers[Age])</f>
        <v>42</v>
      </c>
      <c r="P221" s="22" t="str">
        <f>_xlfn.XLOOKUP(calls[[#This Row],[Customer ID]],customers[Customer ID],customers[City])</f>
        <v>Cleveland</v>
      </c>
    </row>
    <row r="222" spans="2:16" x14ac:dyDescent="0.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s="22" t="str">
        <f>IF(calls[[#This Row],[Rating rounded]]&gt;=4,"Happy")</f>
        <v>Happy</v>
      </c>
      <c r="N222" s="22" t="str">
        <f>_xlfn.XLOOKUP(calls[[#This Row],[Customer ID]],customers[Customer ID],customers[Gedner])</f>
        <v>Male</v>
      </c>
      <c r="O222" s="22">
        <f>_xlfn.XLOOKUP(calls[[#This Row],[Customer ID]],customers[Customer ID],customers[Age])</f>
        <v>31</v>
      </c>
      <c r="P222" s="22" t="str">
        <f>_xlfn.XLOOKUP(calls[[#This Row],[Customer ID]],customers[Customer ID],customers[City])</f>
        <v>Cleveland</v>
      </c>
    </row>
    <row r="223" spans="2:16" x14ac:dyDescent="0.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s="22" t="b">
        <f>IF(calls[[#This Row],[Rating rounded]]&gt;=4,"Happy")</f>
        <v>0</v>
      </c>
      <c r="N223" s="22" t="str">
        <f>_xlfn.XLOOKUP(calls[[#This Row],[Customer ID]],customers[Customer ID],customers[Gedner])</f>
        <v>Female</v>
      </c>
      <c r="O223" s="22">
        <f>_xlfn.XLOOKUP(calls[[#This Row],[Customer ID]],customers[Customer ID],customers[Age])</f>
        <v>25</v>
      </c>
      <c r="P223" s="22" t="str">
        <f>_xlfn.XLOOKUP(calls[[#This Row],[Customer ID]],customers[Customer ID],customers[City])</f>
        <v>Columbus</v>
      </c>
    </row>
    <row r="224" spans="2:16" x14ac:dyDescent="0.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s="22" t="b">
        <f>IF(calls[[#This Row],[Rating rounded]]&gt;=4,"Happy")</f>
        <v>0</v>
      </c>
      <c r="N224" s="22" t="str">
        <f>_xlfn.XLOOKUP(calls[[#This Row],[Customer ID]],customers[Customer ID],customers[Gedner])</f>
        <v>Female</v>
      </c>
      <c r="O224" s="22">
        <f>_xlfn.XLOOKUP(calls[[#This Row],[Customer ID]],customers[Customer ID],customers[Age])</f>
        <v>25</v>
      </c>
      <c r="P224" s="22" t="str">
        <f>_xlfn.XLOOKUP(calls[[#This Row],[Customer ID]],customers[Customer ID],customers[City])</f>
        <v>Columbus</v>
      </c>
    </row>
    <row r="225" spans="2:16" x14ac:dyDescent="0.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s="22" t="str">
        <f>IF(calls[[#This Row],[Rating rounded]]&gt;=4,"Happy")</f>
        <v>Happy</v>
      </c>
      <c r="N225" s="22" t="str">
        <f>_xlfn.XLOOKUP(calls[[#This Row],[Customer ID]],customers[Customer ID],customers[Gedner])</f>
        <v>Male</v>
      </c>
      <c r="O225" s="22">
        <f>_xlfn.XLOOKUP(calls[[#This Row],[Customer ID]],customers[Customer ID],customers[Age])</f>
        <v>36</v>
      </c>
      <c r="P225" s="22" t="str">
        <f>_xlfn.XLOOKUP(calls[[#This Row],[Customer ID]],customers[Customer ID],customers[City])</f>
        <v>Cincinnati</v>
      </c>
    </row>
    <row r="226" spans="2:16" x14ac:dyDescent="0.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s="22" t="str">
        <f>IF(calls[[#This Row],[Rating rounded]]&gt;=4,"Happy")</f>
        <v>Happy</v>
      </c>
      <c r="N226" s="22" t="str">
        <f>_xlfn.XLOOKUP(calls[[#This Row],[Customer ID]],customers[Customer ID],customers[Gedner])</f>
        <v>Female</v>
      </c>
      <c r="O226" s="22">
        <f>_xlfn.XLOOKUP(calls[[#This Row],[Customer ID]],customers[Customer ID],customers[Age])</f>
        <v>37</v>
      </c>
      <c r="P226" s="22" t="str">
        <f>_xlfn.XLOOKUP(calls[[#This Row],[Customer ID]],customers[Customer ID],customers[City])</f>
        <v>Cleveland</v>
      </c>
    </row>
    <row r="227" spans="2:16" x14ac:dyDescent="0.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s="22" t="str">
        <f>IF(calls[[#This Row],[Rating rounded]]&gt;=4,"Happy")</f>
        <v>Happy</v>
      </c>
      <c r="N227" s="22" t="str">
        <f>_xlfn.XLOOKUP(calls[[#This Row],[Customer ID]],customers[Customer ID],customers[Gedner])</f>
        <v>Male</v>
      </c>
      <c r="O227" s="22">
        <f>_xlfn.XLOOKUP(calls[[#This Row],[Customer ID]],customers[Customer ID],customers[Age])</f>
        <v>23</v>
      </c>
      <c r="P227" s="22" t="str">
        <f>_xlfn.XLOOKUP(calls[[#This Row],[Customer ID]],customers[Customer ID],customers[City])</f>
        <v>Columbus</v>
      </c>
    </row>
    <row r="228" spans="2:16" x14ac:dyDescent="0.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s="22" t="b">
        <f>IF(calls[[#This Row],[Rating rounded]]&gt;=4,"Happy")</f>
        <v>0</v>
      </c>
      <c r="N228" s="22" t="str">
        <f>_xlfn.XLOOKUP(calls[[#This Row],[Customer ID]],customers[Customer ID],customers[Gedner])</f>
        <v>Male</v>
      </c>
      <c r="O228" s="22">
        <f>_xlfn.XLOOKUP(calls[[#This Row],[Customer ID]],customers[Customer ID],customers[Age])</f>
        <v>36</v>
      </c>
      <c r="P228" s="22" t="str">
        <f>_xlfn.XLOOKUP(calls[[#This Row],[Customer ID]],customers[Customer ID],customers[City])</f>
        <v>Cincinnati</v>
      </c>
    </row>
    <row r="229" spans="2:16" x14ac:dyDescent="0.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s="22" t="str">
        <f>IF(calls[[#This Row],[Rating rounded]]&gt;=4,"Happy")</f>
        <v>Happy</v>
      </c>
      <c r="N229" s="22" t="str">
        <f>_xlfn.XLOOKUP(calls[[#This Row],[Customer ID]],customers[Customer ID],customers[Gedner])</f>
        <v>Male</v>
      </c>
      <c r="O229" s="22">
        <f>_xlfn.XLOOKUP(calls[[#This Row],[Customer ID]],customers[Customer ID],customers[Age])</f>
        <v>23</v>
      </c>
      <c r="P229" s="22" t="str">
        <f>_xlfn.XLOOKUP(calls[[#This Row],[Customer ID]],customers[Customer ID],customers[City])</f>
        <v>Columbus</v>
      </c>
    </row>
    <row r="230" spans="2:16" x14ac:dyDescent="0.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s="22" t="b">
        <f>IF(calls[[#This Row],[Rating rounded]]&gt;=4,"Happy")</f>
        <v>0</v>
      </c>
      <c r="N230" s="22" t="str">
        <f>_xlfn.XLOOKUP(calls[[#This Row],[Customer ID]],customers[Customer ID],customers[Gedner])</f>
        <v>Female</v>
      </c>
      <c r="O230" s="22">
        <f>_xlfn.XLOOKUP(calls[[#This Row],[Customer ID]],customers[Customer ID],customers[Age])</f>
        <v>25</v>
      </c>
      <c r="P230" s="22" t="str">
        <f>_xlfn.XLOOKUP(calls[[#This Row],[Customer ID]],customers[Customer ID],customers[City])</f>
        <v>Columbus</v>
      </c>
    </row>
    <row r="231" spans="2:16" x14ac:dyDescent="0.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s="22" t="str">
        <f>IF(calls[[#This Row],[Rating rounded]]&gt;=4,"Happy")</f>
        <v>Happy</v>
      </c>
      <c r="N231" s="22" t="str">
        <f>_xlfn.XLOOKUP(calls[[#This Row],[Customer ID]],customers[Customer ID],customers[Gedner])</f>
        <v>Female</v>
      </c>
      <c r="O231" s="22">
        <f>_xlfn.XLOOKUP(calls[[#This Row],[Customer ID]],customers[Customer ID],customers[Age])</f>
        <v>30</v>
      </c>
      <c r="P231" s="22" t="str">
        <f>_xlfn.XLOOKUP(calls[[#This Row],[Customer ID]],customers[Customer ID],customers[City])</f>
        <v>Cincinnati</v>
      </c>
    </row>
    <row r="232" spans="2:16" x14ac:dyDescent="0.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s="22" t="str">
        <f>IF(calls[[#This Row],[Rating rounded]]&gt;=4,"Happy")</f>
        <v>Happy</v>
      </c>
      <c r="N232" s="22" t="str">
        <f>_xlfn.XLOOKUP(calls[[#This Row],[Customer ID]],customers[Customer ID],customers[Gedner])</f>
        <v>Female</v>
      </c>
      <c r="O232" s="22">
        <f>_xlfn.XLOOKUP(calls[[#This Row],[Customer ID]],customers[Customer ID],customers[Age])</f>
        <v>25</v>
      </c>
      <c r="P232" s="22" t="str">
        <f>_xlfn.XLOOKUP(calls[[#This Row],[Customer ID]],customers[Customer ID],customers[City])</f>
        <v>Columbus</v>
      </c>
    </row>
    <row r="233" spans="2:16" x14ac:dyDescent="0.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s="22" t="str">
        <f>IF(calls[[#This Row],[Rating rounded]]&gt;=4,"Happy")</f>
        <v>Happy</v>
      </c>
      <c r="N233" s="22" t="str">
        <f>_xlfn.XLOOKUP(calls[[#This Row],[Customer ID]],customers[Customer ID],customers[Gedner])</f>
        <v>Male</v>
      </c>
      <c r="O233" s="22">
        <f>_xlfn.XLOOKUP(calls[[#This Row],[Customer ID]],customers[Customer ID],customers[Age])</f>
        <v>41</v>
      </c>
      <c r="P233" s="22" t="str">
        <f>_xlfn.XLOOKUP(calls[[#This Row],[Customer ID]],customers[Customer ID],customers[City])</f>
        <v>Columbus</v>
      </c>
    </row>
    <row r="234" spans="2:16" x14ac:dyDescent="0.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s="22" t="str">
        <f>IF(calls[[#This Row],[Rating rounded]]&gt;=4,"Happy")</f>
        <v>Happy</v>
      </c>
      <c r="N234" s="22" t="str">
        <f>_xlfn.XLOOKUP(calls[[#This Row],[Customer ID]],customers[Customer ID],customers[Gedner])</f>
        <v>Female</v>
      </c>
      <c r="O234" s="22">
        <f>_xlfn.XLOOKUP(calls[[#This Row],[Customer ID]],customers[Customer ID],customers[Age])</f>
        <v>38</v>
      </c>
      <c r="P234" s="22" t="str">
        <f>_xlfn.XLOOKUP(calls[[#This Row],[Customer ID]],customers[Customer ID],customers[City])</f>
        <v>Columbus</v>
      </c>
    </row>
    <row r="235" spans="2:16" x14ac:dyDescent="0.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s="22" t="str">
        <f>IF(calls[[#This Row],[Rating rounded]]&gt;=4,"Happy")</f>
        <v>Happy</v>
      </c>
      <c r="N235" s="22" t="str">
        <f>_xlfn.XLOOKUP(calls[[#This Row],[Customer ID]],customers[Customer ID],customers[Gedner])</f>
        <v>Male</v>
      </c>
      <c r="O235" s="22">
        <f>_xlfn.XLOOKUP(calls[[#This Row],[Customer ID]],customers[Customer ID],customers[Age])</f>
        <v>36</v>
      </c>
      <c r="P235" s="22" t="str">
        <f>_xlfn.XLOOKUP(calls[[#This Row],[Customer ID]],customers[Customer ID],customers[City])</f>
        <v>Cincinnati</v>
      </c>
    </row>
    <row r="236" spans="2:16" x14ac:dyDescent="0.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s="22" t="str">
        <f>IF(calls[[#This Row],[Rating rounded]]&gt;=4,"Happy")</f>
        <v>Happy</v>
      </c>
      <c r="N236" s="22" t="str">
        <f>_xlfn.XLOOKUP(calls[[#This Row],[Customer ID]],customers[Customer ID],customers[Gedner])</f>
        <v>Female</v>
      </c>
      <c r="O236" s="22">
        <f>_xlfn.XLOOKUP(calls[[#This Row],[Customer ID]],customers[Customer ID],customers[Age])</f>
        <v>30</v>
      </c>
      <c r="P236" s="22" t="str">
        <f>_xlfn.XLOOKUP(calls[[#This Row],[Customer ID]],customers[Customer ID],customers[City])</f>
        <v>Cincinnati</v>
      </c>
    </row>
    <row r="237" spans="2:16" x14ac:dyDescent="0.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s="22" t="b">
        <f>IF(calls[[#This Row],[Rating rounded]]&gt;=4,"Happy")</f>
        <v>0</v>
      </c>
      <c r="N237" s="22" t="str">
        <f>_xlfn.XLOOKUP(calls[[#This Row],[Customer ID]],customers[Customer ID],customers[Gedner])</f>
        <v>Female</v>
      </c>
      <c r="O237" s="22">
        <f>_xlfn.XLOOKUP(calls[[#This Row],[Customer ID]],customers[Customer ID],customers[Age])</f>
        <v>25</v>
      </c>
      <c r="P237" s="22" t="str">
        <f>_xlfn.XLOOKUP(calls[[#This Row],[Customer ID]],customers[Customer ID],customers[City])</f>
        <v>Columbus</v>
      </c>
    </row>
    <row r="238" spans="2:16" x14ac:dyDescent="0.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s="22" t="b">
        <f>IF(calls[[#This Row],[Rating rounded]]&gt;=4,"Happy")</f>
        <v>0</v>
      </c>
      <c r="N238" s="22" t="str">
        <f>_xlfn.XLOOKUP(calls[[#This Row],[Customer ID]],customers[Customer ID],customers[Gedner])</f>
        <v>Female</v>
      </c>
      <c r="O238" s="22">
        <f>_xlfn.XLOOKUP(calls[[#This Row],[Customer ID]],customers[Customer ID],customers[Age])</f>
        <v>22</v>
      </c>
      <c r="P238" s="22" t="str">
        <f>_xlfn.XLOOKUP(calls[[#This Row],[Customer ID]],customers[Customer ID],customers[City])</f>
        <v>Cleveland</v>
      </c>
    </row>
    <row r="239" spans="2:16" x14ac:dyDescent="0.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s="22" t="str">
        <f>IF(calls[[#This Row],[Rating rounded]]&gt;=4,"Happy")</f>
        <v>Happy</v>
      </c>
      <c r="N239" s="22" t="str">
        <f>_xlfn.XLOOKUP(calls[[#This Row],[Customer ID]],customers[Customer ID],customers[Gedner])</f>
        <v>Male</v>
      </c>
      <c r="O239" s="22">
        <f>_xlfn.XLOOKUP(calls[[#This Row],[Customer ID]],customers[Customer ID],customers[Age])</f>
        <v>23</v>
      </c>
      <c r="P239" s="22" t="str">
        <f>_xlfn.XLOOKUP(calls[[#This Row],[Customer ID]],customers[Customer ID],customers[City])</f>
        <v>Columbus</v>
      </c>
    </row>
    <row r="240" spans="2:16" x14ac:dyDescent="0.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s="22" t="str">
        <f>IF(calls[[#This Row],[Rating rounded]]&gt;=4,"Happy")</f>
        <v>Happy</v>
      </c>
      <c r="N240" s="22" t="str">
        <f>_xlfn.XLOOKUP(calls[[#This Row],[Customer ID]],customers[Customer ID],customers[Gedner])</f>
        <v>Male</v>
      </c>
      <c r="O240" s="22">
        <f>_xlfn.XLOOKUP(calls[[#This Row],[Customer ID]],customers[Customer ID],customers[Age])</f>
        <v>26</v>
      </c>
      <c r="P240" s="22" t="str">
        <f>_xlfn.XLOOKUP(calls[[#This Row],[Customer ID]],customers[Customer ID],customers[City])</f>
        <v>Cincinnati</v>
      </c>
    </row>
    <row r="241" spans="2:16" x14ac:dyDescent="0.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s="22" t="str">
        <f>IF(calls[[#This Row],[Rating rounded]]&gt;=4,"Happy")</f>
        <v>Happy</v>
      </c>
      <c r="N241" s="22" t="str">
        <f>_xlfn.XLOOKUP(calls[[#This Row],[Customer ID]],customers[Customer ID],customers[Gedner])</f>
        <v>Female</v>
      </c>
      <c r="O241" s="22">
        <f>_xlfn.XLOOKUP(calls[[#This Row],[Customer ID]],customers[Customer ID],customers[Age])</f>
        <v>30</v>
      </c>
      <c r="P241" s="22" t="str">
        <f>_xlfn.XLOOKUP(calls[[#This Row],[Customer ID]],customers[Customer ID],customers[City])</f>
        <v>Cleveland</v>
      </c>
    </row>
    <row r="242" spans="2:16" x14ac:dyDescent="0.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s="22" t="str">
        <f>IF(calls[[#This Row],[Rating rounded]]&gt;=4,"Happy")</f>
        <v>Happy</v>
      </c>
      <c r="N242" s="22" t="str">
        <f>_xlfn.XLOOKUP(calls[[#This Row],[Customer ID]],customers[Customer ID],customers[Gedner])</f>
        <v>Male</v>
      </c>
      <c r="O242" s="22">
        <f>_xlfn.XLOOKUP(calls[[#This Row],[Customer ID]],customers[Customer ID],customers[Age])</f>
        <v>37</v>
      </c>
      <c r="P242" s="22" t="str">
        <f>_xlfn.XLOOKUP(calls[[#This Row],[Customer ID]],customers[Customer ID],customers[City])</f>
        <v>Columbus</v>
      </c>
    </row>
    <row r="243" spans="2:16" x14ac:dyDescent="0.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s="22" t="str">
        <f>IF(calls[[#This Row],[Rating rounded]]&gt;=4,"Happy")</f>
        <v>Happy</v>
      </c>
      <c r="N243" s="22" t="str">
        <f>_xlfn.XLOOKUP(calls[[#This Row],[Customer ID]],customers[Customer ID],customers[Gedner])</f>
        <v>Female</v>
      </c>
      <c r="O243" s="22">
        <f>_xlfn.XLOOKUP(calls[[#This Row],[Customer ID]],customers[Customer ID],customers[Age])</f>
        <v>43</v>
      </c>
      <c r="P243" s="22" t="str">
        <f>_xlfn.XLOOKUP(calls[[#This Row],[Customer ID]],customers[Customer ID],customers[City])</f>
        <v>Cleveland</v>
      </c>
    </row>
    <row r="244" spans="2:16" x14ac:dyDescent="0.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s="22" t="str">
        <f>IF(calls[[#This Row],[Rating rounded]]&gt;=4,"Happy")</f>
        <v>Happy</v>
      </c>
      <c r="N244" s="22" t="str">
        <f>_xlfn.XLOOKUP(calls[[#This Row],[Customer ID]],customers[Customer ID],customers[Gedner])</f>
        <v>Female</v>
      </c>
      <c r="O244" s="22">
        <f>_xlfn.XLOOKUP(calls[[#This Row],[Customer ID]],customers[Customer ID],customers[Age])</f>
        <v>37</v>
      </c>
      <c r="P244" s="22" t="str">
        <f>_xlfn.XLOOKUP(calls[[#This Row],[Customer ID]],customers[Customer ID],customers[City])</f>
        <v>Cleveland</v>
      </c>
    </row>
    <row r="245" spans="2:16" x14ac:dyDescent="0.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s="22" t="str">
        <f>IF(calls[[#This Row],[Rating rounded]]&gt;=4,"Happy")</f>
        <v>Happy</v>
      </c>
      <c r="N245" s="22" t="str">
        <f>_xlfn.XLOOKUP(calls[[#This Row],[Customer ID]],customers[Customer ID],customers[Gedner])</f>
        <v>Male</v>
      </c>
      <c r="O245" s="22">
        <f>_xlfn.XLOOKUP(calls[[#This Row],[Customer ID]],customers[Customer ID],customers[Age])</f>
        <v>41</v>
      </c>
      <c r="P245" s="22" t="str">
        <f>_xlfn.XLOOKUP(calls[[#This Row],[Customer ID]],customers[Customer ID],customers[City])</f>
        <v>Columbus</v>
      </c>
    </row>
    <row r="246" spans="2:16" x14ac:dyDescent="0.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s="22" t="str">
        <f>IF(calls[[#This Row],[Rating rounded]]&gt;=4,"Happy")</f>
        <v>Happy</v>
      </c>
      <c r="N246" s="22" t="str">
        <f>_xlfn.XLOOKUP(calls[[#This Row],[Customer ID]],customers[Customer ID],customers[Gedner])</f>
        <v>Female</v>
      </c>
      <c r="O246" s="22">
        <f>_xlfn.XLOOKUP(calls[[#This Row],[Customer ID]],customers[Customer ID],customers[Age])</f>
        <v>30</v>
      </c>
      <c r="P246" s="22" t="str">
        <f>_xlfn.XLOOKUP(calls[[#This Row],[Customer ID]],customers[Customer ID],customers[City])</f>
        <v>Cleveland</v>
      </c>
    </row>
    <row r="247" spans="2:16" x14ac:dyDescent="0.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s="22" t="str">
        <f>IF(calls[[#This Row],[Rating rounded]]&gt;=4,"Happy")</f>
        <v>Happy</v>
      </c>
      <c r="N247" s="22" t="str">
        <f>_xlfn.XLOOKUP(calls[[#This Row],[Customer ID]],customers[Customer ID],customers[Gedner])</f>
        <v>Male</v>
      </c>
      <c r="O247" s="22">
        <f>_xlfn.XLOOKUP(calls[[#This Row],[Customer ID]],customers[Customer ID],customers[Age])</f>
        <v>23</v>
      </c>
      <c r="P247" s="22" t="str">
        <f>_xlfn.XLOOKUP(calls[[#This Row],[Customer ID]],customers[Customer ID],customers[City])</f>
        <v>Columbus</v>
      </c>
    </row>
    <row r="248" spans="2:16" x14ac:dyDescent="0.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s="22" t="str">
        <f>IF(calls[[#This Row],[Rating rounded]]&gt;=4,"Happy")</f>
        <v>Happy</v>
      </c>
      <c r="N248" s="22" t="str">
        <f>_xlfn.XLOOKUP(calls[[#This Row],[Customer ID]],customers[Customer ID],customers[Gedner])</f>
        <v>Female</v>
      </c>
      <c r="O248" s="22">
        <f>_xlfn.XLOOKUP(calls[[#This Row],[Customer ID]],customers[Customer ID],customers[Age])</f>
        <v>25</v>
      </c>
      <c r="P248" s="22" t="str">
        <f>_xlfn.XLOOKUP(calls[[#This Row],[Customer ID]],customers[Customer ID],customers[City])</f>
        <v>Columbus</v>
      </c>
    </row>
    <row r="249" spans="2:16" x14ac:dyDescent="0.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s="22" t="str">
        <f>IF(calls[[#This Row],[Rating rounded]]&gt;=4,"Happy")</f>
        <v>Happy</v>
      </c>
      <c r="N249" s="22" t="str">
        <f>_xlfn.XLOOKUP(calls[[#This Row],[Customer ID]],customers[Customer ID],customers[Gedner])</f>
        <v>Female</v>
      </c>
      <c r="O249" s="22">
        <f>_xlfn.XLOOKUP(calls[[#This Row],[Customer ID]],customers[Customer ID],customers[Age])</f>
        <v>30</v>
      </c>
      <c r="P249" s="22" t="str">
        <f>_xlfn.XLOOKUP(calls[[#This Row],[Customer ID]],customers[Customer ID],customers[City])</f>
        <v>Cleveland</v>
      </c>
    </row>
    <row r="250" spans="2:16" x14ac:dyDescent="0.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s="22" t="str">
        <f>IF(calls[[#This Row],[Rating rounded]]&gt;=4,"Happy")</f>
        <v>Happy</v>
      </c>
      <c r="N250" s="22" t="str">
        <f>_xlfn.XLOOKUP(calls[[#This Row],[Customer ID]],customers[Customer ID],customers[Gedner])</f>
        <v>Male</v>
      </c>
      <c r="O250" s="22">
        <f>_xlfn.XLOOKUP(calls[[#This Row],[Customer ID]],customers[Customer ID],customers[Age])</f>
        <v>36</v>
      </c>
      <c r="P250" s="22" t="str">
        <f>_xlfn.XLOOKUP(calls[[#This Row],[Customer ID]],customers[Customer ID],customers[City])</f>
        <v>Cincinnati</v>
      </c>
    </row>
    <row r="251" spans="2:16" x14ac:dyDescent="0.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s="22" t="b">
        <f>IF(calls[[#This Row],[Rating rounded]]&gt;=4,"Happy")</f>
        <v>0</v>
      </c>
      <c r="N251" s="22" t="str">
        <f>_xlfn.XLOOKUP(calls[[#This Row],[Customer ID]],customers[Customer ID],customers[Gedner])</f>
        <v>Male</v>
      </c>
      <c r="O251" s="22">
        <f>_xlfn.XLOOKUP(calls[[#This Row],[Customer ID]],customers[Customer ID],customers[Age])</f>
        <v>36</v>
      </c>
      <c r="P251" s="22" t="str">
        <f>_xlfn.XLOOKUP(calls[[#This Row],[Customer ID]],customers[Customer ID],customers[City])</f>
        <v>Cincinnati</v>
      </c>
    </row>
    <row r="252" spans="2:16" x14ac:dyDescent="0.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s="22" t="str">
        <f>IF(calls[[#This Row],[Rating rounded]]&gt;=4,"Happy")</f>
        <v>Happy</v>
      </c>
      <c r="N252" s="22" t="str">
        <f>_xlfn.XLOOKUP(calls[[#This Row],[Customer ID]],customers[Customer ID],customers[Gedner])</f>
        <v>Male</v>
      </c>
      <c r="O252" s="22">
        <f>_xlfn.XLOOKUP(calls[[#This Row],[Customer ID]],customers[Customer ID],customers[Age])</f>
        <v>37</v>
      </c>
      <c r="P252" s="22" t="str">
        <f>_xlfn.XLOOKUP(calls[[#This Row],[Customer ID]],customers[Customer ID],customers[City])</f>
        <v>Columbus</v>
      </c>
    </row>
    <row r="253" spans="2:16" x14ac:dyDescent="0.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s="22" t="str">
        <f>IF(calls[[#This Row],[Rating rounded]]&gt;=4,"Happy")</f>
        <v>Happy</v>
      </c>
      <c r="N253" s="22" t="str">
        <f>_xlfn.XLOOKUP(calls[[#This Row],[Customer ID]],customers[Customer ID],customers[Gedner])</f>
        <v>Female</v>
      </c>
      <c r="O253" s="22">
        <f>_xlfn.XLOOKUP(calls[[#This Row],[Customer ID]],customers[Customer ID],customers[Age])</f>
        <v>30</v>
      </c>
      <c r="P253" s="22" t="str">
        <f>_xlfn.XLOOKUP(calls[[#This Row],[Customer ID]],customers[Customer ID],customers[City])</f>
        <v>Cincinnati</v>
      </c>
    </row>
    <row r="254" spans="2:16" x14ac:dyDescent="0.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s="22" t="b">
        <f>IF(calls[[#This Row],[Rating rounded]]&gt;=4,"Happy")</f>
        <v>0</v>
      </c>
      <c r="N254" s="22" t="str">
        <f>_xlfn.XLOOKUP(calls[[#This Row],[Customer ID]],customers[Customer ID],customers[Gedner])</f>
        <v>Male</v>
      </c>
      <c r="O254" s="22">
        <f>_xlfn.XLOOKUP(calls[[#This Row],[Customer ID]],customers[Customer ID],customers[Age])</f>
        <v>36</v>
      </c>
      <c r="P254" s="22" t="str">
        <f>_xlfn.XLOOKUP(calls[[#This Row],[Customer ID]],customers[Customer ID],customers[City])</f>
        <v>Cincinnati</v>
      </c>
    </row>
    <row r="255" spans="2:16" x14ac:dyDescent="0.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s="22" t="b">
        <f>IF(calls[[#This Row],[Rating rounded]]&gt;=4,"Happy")</f>
        <v>0</v>
      </c>
      <c r="N255" s="22" t="str">
        <f>_xlfn.XLOOKUP(calls[[#This Row],[Customer ID]],customers[Customer ID],customers[Gedner])</f>
        <v>Female</v>
      </c>
      <c r="O255" s="22">
        <f>_xlfn.XLOOKUP(calls[[#This Row],[Customer ID]],customers[Customer ID],customers[Age])</f>
        <v>38</v>
      </c>
      <c r="P255" s="22" t="str">
        <f>_xlfn.XLOOKUP(calls[[#This Row],[Customer ID]],customers[Customer ID],customers[City])</f>
        <v>Columbus</v>
      </c>
    </row>
    <row r="256" spans="2:16" x14ac:dyDescent="0.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s="22" t="str">
        <f>IF(calls[[#This Row],[Rating rounded]]&gt;=4,"Happy")</f>
        <v>Happy</v>
      </c>
      <c r="N256" s="22" t="str">
        <f>_xlfn.XLOOKUP(calls[[#This Row],[Customer ID]],customers[Customer ID],customers[Gedner])</f>
        <v>Male</v>
      </c>
      <c r="O256" s="22">
        <f>_xlfn.XLOOKUP(calls[[#This Row],[Customer ID]],customers[Customer ID],customers[Age])</f>
        <v>37</v>
      </c>
      <c r="P256" s="22" t="str">
        <f>_xlfn.XLOOKUP(calls[[#This Row],[Customer ID]],customers[Customer ID],customers[City])</f>
        <v>Columbus</v>
      </c>
    </row>
    <row r="257" spans="2:16" x14ac:dyDescent="0.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s="22" t="str">
        <f>IF(calls[[#This Row],[Rating rounded]]&gt;=4,"Happy")</f>
        <v>Happy</v>
      </c>
      <c r="N257" s="22" t="str">
        <f>_xlfn.XLOOKUP(calls[[#This Row],[Customer ID]],customers[Customer ID],customers[Gedner])</f>
        <v>Female</v>
      </c>
      <c r="O257" s="22">
        <f>_xlfn.XLOOKUP(calls[[#This Row],[Customer ID]],customers[Customer ID],customers[Age])</f>
        <v>38</v>
      </c>
      <c r="P257" s="22" t="str">
        <f>_xlfn.XLOOKUP(calls[[#This Row],[Customer ID]],customers[Customer ID],customers[City])</f>
        <v>Columbus</v>
      </c>
    </row>
    <row r="258" spans="2:16" x14ac:dyDescent="0.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s="22" t="str">
        <f>IF(calls[[#This Row],[Rating rounded]]&gt;=4,"Happy")</f>
        <v>Happy</v>
      </c>
      <c r="N258" s="22" t="str">
        <f>_xlfn.XLOOKUP(calls[[#This Row],[Customer ID]],customers[Customer ID],customers[Gedner])</f>
        <v>Male</v>
      </c>
      <c r="O258" s="22">
        <f>_xlfn.XLOOKUP(calls[[#This Row],[Customer ID]],customers[Customer ID],customers[Age])</f>
        <v>36</v>
      </c>
      <c r="P258" s="22" t="str">
        <f>_xlfn.XLOOKUP(calls[[#This Row],[Customer ID]],customers[Customer ID],customers[City])</f>
        <v>Cincinnati</v>
      </c>
    </row>
    <row r="259" spans="2:16" x14ac:dyDescent="0.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s="22" t="str">
        <f>IF(calls[[#This Row],[Rating rounded]]&gt;=4,"Happy")</f>
        <v>Happy</v>
      </c>
      <c r="N259" s="22" t="str">
        <f>_xlfn.XLOOKUP(calls[[#This Row],[Customer ID]],customers[Customer ID],customers[Gedner])</f>
        <v>Female</v>
      </c>
      <c r="O259" s="22">
        <f>_xlfn.XLOOKUP(calls[[#This Row],[Customer ID]],customers[Customer ID],customers[Age])</f>
        <v>22</v>
      </c>
      <c r="P259" s="22" t="str">
        <f>_xlfn.XLOOKUP(calls[[#This Row],[Customer ID]],customers[Customer ID],customers[City])</f>
        <v>Cleveland</v>
      </c>
    </row>
    <row r="260" spans="2:16" x14ac:dyDescent="0.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s="22" t="str">
        <f>IF(calls[[#This Row],[Rating rounded]]&gt;=4,"Happy")</f>
        <v>Happy</v>
      </c>
      <c r="N260" s="22" t="str">
        <f>_xlfn.XLOOKUP(calls[[#This Row],[Customer ID]],customers[Customer ID],customers[Gedner])</f>
        <v>Female</v>
      </c>
      <c r="O260" s="22">
        <f>_xlfn.XLOOKUP(calls[[#This Row],[Customer ID]],customers[Customer ID],customers[Age])</f>
        <v>22</v>
      </c>
      <c r="P260" s="22" t="str">
        <f>_xlfn.XLOOKUP(calls[[#This Row],[Customer ID]],customers[Customer ID],customers[City])</f>
        <v>Cleveland</v>
      </c>
    </row>
    <row r="261" spans="2:16" x14ac:dyDescent="0.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s="22" t="str">
        <f>IF(calls[[#This Row],[Rating rounded]]&gt;=4,"Happy")</f>
        <v>Happy</v>
      </c>
      <c r="N261" s="22" t="str">
        <f>_xlfn.XLOOKUP(calls[[#This Row],[Customer ID]],customers[Customer ID],customers[Gedner])</f>
        <v>Male</v>
      </c>
      <c r="O261" s="22">
        <f>_xlfn.XLOOKUP(calls[[#This Row],[Customer ID]],customers[Customer ID],customers[Age])</f>
        <v>23</v>
      </c>
      <c r="P261" s="22" t="str">
        <f>_xlfn.XLOOKUP(calls[[#This Row],[Customer ID]],customers[Customer ID],customers[City])</f>
        <v>Columbus</v>
      </c>
    </row>
    <row r="262" spans="2:16" x14ac:dyDescent="0.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s="22" t="str">
        <f>IF(calls[[#This Row],[Rating rounded]]&gt;=4,"Happy")</f>
        <v>Happy</v>
      </c>
      <c r="N262" s="22" t="str">
        <f>_xlfn.XLOOKUP(calls[[#This Row],[Customer ID]],customers[Customer ID],customers[Gedner])</f>
        <v>Female</v>
      </c>
      <c r="O262" s="22">
        <f>_xlfn.XLOOKUP(calls[[#This Row],[Customer ID]],customers[Customer ID],customers[Age])</f>
        <v>28</v>
      </c>
      <c r="P262" s="22" t="str">
        <f>_xlfn.XLOOKUP(calls[[#This Row],[Customer ID]],customers[Customer ID],customers[City])</f>
        <v>Cincinnati</v>
      </c>
    </row>
    <row r="263" spans="2:16" x14ac:dyDescent="0.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s="22" t="str">
        <f>IF(calls[[#This Row],[Rating rounded]]&gt;=4,"Happy")</f>
        <v>Happy</v>
      </c>
      <c r="N263" s="22" t="str">
        <f>_xlfn.XLOOKUP(calls[[#This Row],[Customer ID]],customers[Customer ID],customers[Gedner])</f>
        <v>Female</v>
      </c>
      <c r="O263" s="22">
        <f>_xlfn.XLOOKUP(calls[[#This Row],[Customer ID]],customers[Customer ID],customers[Age])</f>
        <v>28</v>
      </c>
      <c r="P263" s="22" t="str">
        <f>_xlfn.XLOOKUP(calls[[#This Row],[Customer ID]],customers[Customer ID],customers[City])</f>
        <v>Cincinnati</v>
      </c>
    </row>
    <row r="264" spans="2:16" x14ac:dyDescent="0.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s="22" t="str">
        <f>IF(calls[[#This Row],[Rating rounded]]&gt;=4,"Happy")</f>
        <v>Happy</v>
      </c>
      <c r="N264" s="22" t="str">
        <f>_xlfn.XLOOKUP(calls[[#This Row],[Customer ID]],customers[Customer ID],customers[Gedner])</f>
        <v>Female</v>
      </c>
      <c r="O264" s="22">
        <f>_xlfn.XLOOKUP(calls[[#This Row],[Customer ID]],customers[Customer ID],customers[Age])</f>
        <v>30</v>
      </c>
      <c r="P264" s="22" t="str">
        <f>_xlfn.XLOOKUP(calls[[#This Row],[Customer ID]],customers[Customer ID],customers[City])</f>
        <v>Cincinnati</v>
      </c>
    </row>
    <row r="265" spans="2:16" x14ac:dyDescent="0.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s="22" t="str">
        <f>IF(calls[[#This Row],[Rating rounded]]&gt;=4,"Happy")</f>
        <v>Happy</v>
      </c>
      <c r="N265" s="22" t="str">
        <f>_xlfn.XLOOKUP(calls[[#This Row],[Customer ID]],customers[Customer ID],customers[Gedner])</f>
        <v>Female</v>
      </c>
      <c r="O265" s="22">
        <f>_xlfn.XLOOKUP(calls[[#This Row],[Customer ID]],customers[Customer ID],customers[Age])</f>
        <v>25</v>
      </c>
      <c r="P265" s="22" t="str">
        <f>_xlfn.XLOOKUP(calls[[#This Row],[Customer ID]],customers[Customer ID],customers[City])</f>
        <v>Columbus</v>
      </c>
    </row>
    <row r="266" spans="2:16" x14ac:dyDescent="0.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s="22" t="str">
        <f>IF(calls[[#This Row],[Rating rounded]]&gt;=4,"Happy")</f>
        <v>Happy</v>
      </c>
      <c r="N266" s="22" t="str">
        <f>_xlfn.XLOOKUP(calls[[#This Row],[Customer ID]],customers[Customer ID],customers[Gedner])</f>
        <v>Female</v>
      </c>
      <c r="O266" s="22">
        <f>_xlfn.XLOOKUP(calls[[#This Row],[Customer ID]],customers[Customer ID],customers[Age])</f>
        <v>42</v>
      </c>
      <c r="P266" s="22" t="str">
        <f>_xlfn.XLOOKUP(calls[[#This Row],[Customer ID]],customers[Customer ID],customers[City])</f>
        <v>Cleveland</v>
      </c>
    </row>
    <row r="267" spans="2:16" x14ac:dyDescent="0.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s="22" t="str">
        <f>IF(calls[[#This Row],[Rating rounded]]&gt;=4,"Happy")</f>
        <v>Happy</v>
      </c>
      <c r="N267" s="22" t="str">
        <f>_xlfn.XLOOKUP(calls[[#This Row],[Customer ID]],customers[Customer ID],customers[Gedner])</f>
        <v>Male</v>
      </c>
      <c r="O267" s="22">
        <f>_xlfn.XLOOKUP(calls[[#This Row],[Customer ID]],customers[Customer ID],customers[Age])</f>
        <v>31</v>
      </c>
      <c r="P267" s="22" t="str">
        <f>_xlfn.XLOOKUP(calls[[#This Row],[Customer ID]],customers[Customer ID],customers[City])</f>
        <v>Cleveland</v>
      </c>
    </row>
    <row r="268" spans="2:16" x14ac:dyDescent="0.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s="22" t="b">
        <f>IF(calls[[#This Row],[Rating rounded]]&gt;=4,"Happy")</f>
        <v>0</v>
      </c>
      <c r="N268" s="22" t="str">
        <f>_xlfn.XLOOKUP(calls[[#This Row],[Customer ID]],customers[Customer ID],customers[Gedner])</f>
        <v>Female</v>
      </c>
      <c r="O268" s="22">
        <f>_xlfn.XLOOKUP(calls[[#This Row],[Customer ID]],customers[Customer ID],customers[Age])</f>
        <v>43</v>
      </c>
      <c r="P268" s="22" t="str">
        <f>_xlfn.XLOOKUP(calls[[#This Row],[Customer ID]],customers[Customer ID],customers[City])</f>
        <v>Cleveland</v>
      </c>
    </row>
    <row r="269" spans="2:16" x14ac:dyDescent="0.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s="22" t="str">
        <f>IF(calls[[#This Row],[Rating rounded]]&gt;=4,"Happy")</f>
        <v>Happy</v>
      </c>
      <c r="N269" s="22" t="str">
        <f>_xlfn.XLOOKUP(calls[[#This Row],[Customer ID]],customers[Customer ID],customers[Gedner])</f>
        <v>Female</v>
      </c>
      <c r="O269" s="22">
        <f>_xlfn.XLOOKUP(calls[[#This Row],[Customer ID]],customers[Customer ID],customers[Age])</f>
        <v>30</v>
      </c>
      <c r="P269" s="22" t="str">
        <f>_xlfn.XLOOKUP(calls[[#This Row],[Customer ID]],customers[Customer ID],customers[City])</f>
        <v>Cleveland</v>
      </c>
    </row>
    <row r="270" spans="2:16" x14ac:dyDescent="0.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s="22" t="str">
        <f>IF(calls[[#This Row],[Rating rounded]]&gt;=4,"Happy")</f>
        <v>Happy</v>
      </c>
      <c r="N270" s="22" t="str">
        <f>_xlfn.XLOOKUP(calls[[#This Row],[Customer ID]],customers[Customer ID],customers[Gedner])</f>
        <v>Female</v>
      </c>
      <c r="O270" s="22">
        <f>_xlfn.XLOOKUP(calls[[#This Row],[Customer ID]],customers[Customer ID],customers[Age])</f>
        <v>22</v>
      </c>
      <c r="P270" s="22" t="str">
        <f>_xlfn.XLOOKUP(calls[[#This Row],[Customer ID]],customers[Customer ID],customers[City])</f>
        <v>Cleveland</v>
      </c>
    </row>
    <row r="271" spans="2:16" x14ac:dyDescent="0.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s="22" t="str">
        <f>IF(calls[[#This Row],[Rating rounded]]&gt;=4,"Happy")</f>
        <v>Happy</v>
      </c>
      <c r="N271" s="22" t="str">
        <f>_xlfn.XLOOKUP(calls[[#This Row],[Customer ID]],customers[Customer ID],customers[Gedner])</f>
        <v>Female</v>
      </c>
      <c r="O271" s="22">
        <f>_xlfn.XLOOKUP(calls[[#This Row],[Customer ID]],customers[Customer ID],customers[Age])</f>
        <v>28</v>
      </c>
      <c r="P271" s="22" t="str">
        <f>_xlfn.XLOOKUP(calls[[#This Row],[Customer ID]],customers[Customer ID],customers[City])</f>
        <v>Cincinnati</v>
      </c>
    </row>
    <row r="272" spans="2:16" x14ac:dyDescent="0.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s="22" t="str">
        <f>IF(calls[[#This Row],[Rating rounded]]&gt;=4,"Happy")</f>
        <v>Happy</v>
      </c>
      <c r="N272" s="22" t="str">
        <f>_xlfn.XLOOKUP(calls[[#This Row],[Customer ID]],customers[Customer ID],customers[Gedner])</f>
        <v>Male</v>
      </c>
      <c r="O272" s="22">
        <f>_xlfn.XLOOKUP(calls[[#This Row],[Customer ID]],customers[Customer ID],customers[Age])</f>
        <v>37</v>
      </c>
      <c r="P272" s="22" t="str">
        <f>_xlfn.XLOOKUP(calls[[#This Row],[Customer ID]],customers[Customer ID],customers[City])</f>
        <v>Columbus</v>
      </c>
    </row>
    <row r="273" spans="2:16" x14ac:dyDescent="0.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s="22" t="b">
        <f>IF(calls[[#This Row],[Rating rounded]]&gt;=4,"Happy")</f>
        <v>0</v>
      </c>
      <c r="N273" s="22" t="str">
        <f>_xlfn.XLOOKUP(calls[[#This Row],[Customer ID]],customers[Customer ID],customers[Gedner])</f>
        <v>Female</v>
      </c>
      <c r="O273" s="22">
        <f>_xlfn.XLOOKUP(calls[[#This Row],[Customer ID]],customers[Customer ID],customers[Age])</f>
        <v>28</v>
      </c>
      <c r="P273" s="22" t="str">
        <f>_xlfn.XLOOKUP(calls[[#This Row],[Customer ID]],customers[Customer ID],customers[City])</f>
        <v>Cincinnati</v>
      </c>
    </row>
    <row r="274" spans="2:16" x14ac:dyDescent="0.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s="22" t="str">
        <f>IF(calls[[#This Row],[Rating rounded]]&gt;=4,"Happy")</f>
        <v>Happy</v>
      </c>
      <c r="N274" s="22" t="str">
        <f>_xlfn.XLOOKUP(calls[[#This Row],[Customer ID]],customers[Customer ID],customers[Gedner])</f>
        <v>Female</v>
      </c>
      <c r="O274" s="22">
        <f>_xlfn.XLOOKUP(calls[[#This Row],[Customer ID]],customers[Customer ID],customers[Age])</f>
        <v>42</v>
      </c>
      <c r="P274" s="22" t="str">
        <f>_xlfn.XLOOKUP(calls[[#This Row],[Customer ID]],customers[Customer ID],customers[City])</f>
        <v>Cleveland</v>
      </c>
    </row>
    <row r="275" spans="2:16" x14ac:dyDescent="0.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s="22" t="str">
        <f>IF(calls[[#This Row],[Rating rounded]]&gt;=4,"Happy")</f>
        <v>Happy</v>
      </c>
      <c r="N275" s="22" t="str">
        <f>_xlfn.XLOOKUP(calls[[#This Row],[Customer ID]],customers[Customer ID],customers[Gedner])</f>
        <v>Male</v>
      </c>
      <c r="O275" s="22">
        <f>_xlfn.XLOOKUP(calls[[#This Row],[Customer ID]],customers[Customer ID],customers[Age])</f>
        <v>23</v>
      </c>
      <c r="P275" s="22" t="str">
        <f>_xlfn.XLOOKUP(calls[[#This Row],[Customer ID]],customers[Customer ID],customers[City])</f>
        <v>Columbus</v>
      </c>
    </row>
    <row r="276" spans="2:16" x14ac:dyDescent="0.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s="22" t="str">
        <f>IF(calls[[#This Row],[Rating rounded]]&gt;=4,"Happy")</f>
        <v>Happy</v>
      </c>
      <c r="N276" s="22" t="str">
        <f>_xlfn.XLOOKUP(calls[[#This Row],[Customer ID]],customers[Customer ID],customers[Gedner])</f>
        <v>Female</v>
      </c>
      <c r="O276" s="22">
        <f>_xlfn.XLOOKUP(calls[[#This Row],[Customer ID]],customers[Customer ID],customers[Age])</f>
        <v>25</v>
      </c>
      <c r="P276" s="22" t="str">
        <f>_xlfn.XLOOKUP(calls[[#This Row],[Customer ID]],customers[Customer ID],customers[City])</f>
        <v>Columbus</v>
      </c>
    </row>
    <row r="277" spans="2:16" x14ac:dyDescent="0.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s="22" t="str">
        <f>IF(calls[[#This Row],[Rating rounded]]&gt;=4,"Happy")</f>
        <v>Happy</v>
      </c>
      <c r="N277" s="22" t="str">
        <f>_xlfn.XLOOKUP(calls[[#This Row],[Customer ID]],customers[Customer ID],customers[Gedner])</f>
        <v>Female</v>
      </c>
      <c r="O277" s="22">
        <f>_xlfn.XLOOKUP(calls[[#This Row],[Customer ID]],customers[Customer ID],customers[Age])</f>
        <v>28</v>
      </c>
      <c r="P277" s="22" t="str">
        <f>_xlfn.XLOOKUP(calls[[#This Row],[Customer ID]],customers[Customer ID],customers[City])</f>
        <v>Cincinnati</v>
      </c>
    </row>
    <row r="278" spans="2:16" x14ac:dyDescent="0.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s="22" t="str">
        <f>IF(calls[[#This Row],[Rating rounded]]&gt;=4,"Happy")</f>
        <v>Happy</v>
      </c>
      <c r="N278" s="22" t="str">
        <f>_xlfn.XLOOKUP(calls[[#This Row],[Customer ID]],customers[Customer ID],customers[Gedner])</f>
        <v>Male</v>
      </c>
      <c r="O278" s="22">
        <f>_xlfn.XLOOKUP(calls[[#This Row],[Customer ID]],customers[Customer ID],customers[Age])</f>
        <v>36</v>
      </c>
      <c r="P278" s="22" t="str">
        <f>_xlfn.XLOOKUP(calls[[#This Row],[Customer ID]],customers[Customer ID],customers[City])</f>
        <v>Cincinnati</v>
      </c>
    </row>
    <row r="279" spans="2:16" x14ac:dyDescent="0.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s="22" t="b">
        <f>IF(calls[[#This Row],[Rating rounded]]&gt;=4,"Happy")</f>
        <v>0</v>
      </c>
      <c r="N279" s="22" t="str">
        <f>_xlfn.XLOOKUP(calls[[#This Row],[Customer ID]],customers[Customer ID],customers[Gedner])</f>
        <v>Male</v>
      </c>
      <c r="O279" s="22">
        <f>_xlfn.XLOOKUP(calls[[#This Row],[Customer ID]],customers[Customer ID],customers[Age])</f>
        <v>26</v>
      </c>
      <c r="P279" s="22" t="str">
        <f>_xlfn.XLOOKUP(calls[[#This Row],[Customer ID]],customers[Customer ID],customers[City])</f>
        <v>Cincinnati</v>
      </c>
    </row>
    <row r="280" spans="2:16" x14ac:dyDescent="0.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s="22" t="str">
        <f>IF(calls[[#This Row],[Rating rounded]]&gt;=4,"Happy")</f>
        <v>Happy</v>
      </c>
      <c r="N280" s="22" t="str">
        <f>_xlfn.XLOOKUP(calls[[#This Row],[Customer ID]],customers[Customer ID],customers[Gedner])</f>
        <v>Female</v>
      </c>
      <c r="O280" s="22">
        <f>_xlfn.XLOOKUP(calls[[#This Row],[Customer ID]],customers[Customer ID],customers[Age])</f>
        <v>30</v>
      </c>
      <c r="P280" s="22" t="str">
        <f>_xlfn.XLOOKUP(calls[[#This Row],[Customer ID]],customers[Customer ID],customers[City])</f>
        <v>Cincinnati</v>
      </c>
    </row>
    <row r="281" spans="2:16" x14ac:dyDescent="0.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s="22" t="str">
        <f>IF(calls[[#This Row],[Rating rounded]]&gt;=4,"Happy")</f>
        <v>Happy</v>
      </c>
      <c r="N281" s="22" t="str">
        <f>_xlfn.XLOOKUP(calls[[#This Row],[Customer ID]],customers[Customer ID],customers[Gedner])</f>
        <v>Male</v>
      </c>
      <c r="O281" s="22">
        <f>_xlfn.XLOOKUP(calls[[#This Row],[Customer ID]],customers[Customer ID],customers[Age])</f>
        <v>23</v>
      </c>
      <c r="P281" s="22" t="str">
        <f>_xlfn.XLOOKUP(calls[[#This Row],[Customer ID]],customers[Customer ID],customers[City])</f>
        <v>Columbus</v>
      </c>
    </row>
    <row r="282" spans="2:16" x14ac:dyDescent="0.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s="22" t="str">
        <f>IF(calls[[#This Row],[Rating rounded]]&gt;=4,"Happy")</f>
        <v>Happy</v>
      </c>
      <c r="N282" s="22" t="str">
        <f>_xlfn.XLOOKUP(calls[[#This Row],[Customer ID]],customers[Customer ID],customers[Gedner])</f>
        <v>Female</v>
      </c>
      <c r="O282" s="22">
        <f>_xlfn.XLOOKUP(calls[[#This Row],[Customer ID]],customers[Customer ID],customers[Age])</f>
        <v>37</v>
      </c>
      <c r="P282" s="22" t="str">
        <f>_xlfn.XLOOKUP(calls[[#This Row],[Customer ID]],customers[Customer ID],customers[City])</f>
        <v>Cleveland</v>
      </c>
    </row>
    <row r="283" spans="2:16" x14ac:dyDescent="0.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s="22" t="str">
        <f>IF(calls[[#This Row],[Rating rounded]]&gt;=4,"Happy")</f>
        <v>Happy</v>
      </c>
      <c r="N283" s="22" t="str">
        <f>_xlfn.XLOOKUP(calls[[#This Row],[Customer ID]],customers[Customer ID],customers[Gedner])</f>
        <v>Female</v>
      </c>
      <c r="O283" s="22">
        <f>_xlfn.XLOOKUP(calls[[#This Row],[Customer ID]],customers[Customer ID],customers[Age])</f>
        <v>43</v>
      </c>
      <c r="P283" s="22" t="str">
        <f>_xlfn.XLOOKUP(calls[[#This Row],[Customer ID]],customers[Customer ID],customers[City])</f>
        <v>Cleveland</v>
      </c>
    </row>
    <row r="284" spans="2:16" x14ac:dyDescent="0.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s="22" t="b">
        <f>IF(calls[[#This Row],[Rating rounded]]&gt;=4,"Happy")</f>
        <v>0</v>
      </c>
      <c r="N284" s="22" t="str">
        <f>_xlfn.XLOOKUP(calls[[#This Row],[Customer ID]],customers[Customer ID],customers[Gedner])</f>
        <v>Male</v>
      </c>
      <c r="O284" s="22">
        <f>_xlfn.XLOOKUP(calls[[#This Row],[Customer ID]],customers[Customer ID],customers[Age])</f>
        <v>36</v>
      </c>
      <c r="P284" s="22" t="str">
        <f>_xlfn.XLOOKUP(calls[[#This Row],[Customer ID]],customers[Customer ID],customers[City])</f>
        <v>Cincinnati</v>
      </c>
    </row>
    <row r="285" spans="2:16" x14ac:dyDescent="0.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s="22" t="b">
        <f>IF(calls[[#This Row],[Rating rounded]]&gt;=4,"Happy")</f>
        <v>0</v>
      </c>
      <c r="N285" s="22" t="str">
        <f>_xlfn.XLOOKUP(calls[[#This Row],[Customer ID]],customers[Customer ID],customers[Gedner])</f>
        <v>Male</v>
      </c>
      <c r="O285" s="22">
        <f>_xlfn.XLOOKUP(calls[[#This Row],[Customer ID]],customers[Customer ID],customers[Age])</f>
        <v>23</v>
      </c>
      <c r="P285" s="22" t="str">
        <f>_xlfn.XLOOKUP(calls[[#This Row],[Customer ID]],customers[Customer ID],customers[City])</f>
        <v>Columbus</v>
      </c>
    </row>
    <row r="286" spans="2:16" x14ac:dyDescent="0.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s="22" t="b">
        <f>IF(calls[[#This Row],[Rating rounded]]&gt;=4,"Happy")</f>
        <v>0</v>
      </c>
      <c r="N286" s="22" t="str">
        <f>_xlfn.XLOOKUP(calls[[#This Row],[Customer ID]],customers[Customer ID],customers[Gedner])</f>
        <v>Female</v>
      </c>
      <c r="O286" s="22">
        <f>_xlfn.XLOOKUP(calls[[#This Row],[Customer ID]],customers[Customer ID],customers[Age])</f>
        <v>22</v>
      </c>
      <c r="P286" s="22" t="str">
        <f>_xlfn.XLOOKUP(calls[[#This Row],[Customer ID]],customers[Customer ID],customers[City])</f>
        <v>Cleveland</v>
      </c>
    </row>
    <row r="287" spans="2:16" x14ac:dyDescent="0.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s="22" t="str">
        <f>IF(calls[[#This Row],[Rating rounded]]&gt;=4,"Happy")</f>
        <v>Happy</v>
      </c>
      <c r="N287" s="22" t="str">
        <f>_xlfn.XLOOKUP(calls[[#This Row],[Customer ID]],customers[Customer ID],customers[Gedner])</f>
        <v>Female</v>
      </c>
      <c r="O287" s="22">
        <f>_xlfn.XLOOKUP(calls[[#This Row],[Customer ID]],customers[Customer ID],customers[Age])</f>
        <v>28</v>
      </c>
      <c r="P287" s="22" t="str">
        <f>_xlfn.XLOOKUP(calls[[#This Row],[Customer ID]],customers[Customer ID],customers[City])</f>
        <v>Cincinnati</v>
      </c>
    </row>
    <row r="288" spans="2:16" x14ac:dyDescent="0.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s="22" t="str">
        <f>IF(calls[[#This Row],[Rating rounded]]&gt;=4,"Happy")</f>
        <v>Happy</v>
      </c>
      <c r="N288" s="22" t="str">
        <f>_xlfn.XLOOKUP(calls[[#This Row],[Customer ID]],customers[Customer ID],customers[Gedner])</f>
        <v>Male</v>
      </c>
      <c r="O288" s="22">
        <f>_xlfn.XLOOKUP(calls[[#This Row],[Customer ID]],customers[Customer ID],customers[Age])</f>
        <v>31</v>
      </c>
      <c r="P288" s="22" t="str">
        <f>_xlfn.XLOOKUP(calls[[#This Row],[Customer ID]],customers[Customer ID],customers[City])</f>
        <v>Cleveland</v>
      </c>
    </row>
    <row r="289" spans="2:16" x14ac:dyDescent="0.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s="22" t="b">
        <f>IF(calls[[#This Row],[Rating rounded]]&gt;=4,"Happy")</f>
        <v>0</v>
      </c>
      <c r="N289" s="22" t="str">
        <f>_xlfn.XLOOKUP(calls[[#This Row],[Customer ID]],customers[Customer ID],customers[Gedner])</f>
        <v>Female</v>
      </c>
      <c r="O289" s="22">
        <f>_xlfn.XLOOKUP(calls[[#This Row],[Customer ID]],customers[Customer ID],customers[Age])</f>
        <v>30</v>
      </c>
      <c r="P289" s="22" t="str">
        <f>_xlfn.XLOOKUP(calls[[#This Row],[Customer ID]],customers[Customer ID],customers[City])</f>
        <v>Cincinnati</v>
      </c>
    </row>
    <row r="290" spans="2:16" x14ac:dyDescent="0.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s="22" t="str">
        <f>IF(calls[[#This Row],[Rating rounded]]&gt;=4,"Happy")</f>
        <v>Happy</v>
      </c>
      <c r="N290" s="22" t="str">
        <f>_xlfn.XLOOKUP(calls[[#This Row],[Customer ID]],customers[Customer ID],customers[Gedner])</f>
        <v>Female</v>
      </c>
      <c r="O290" s="22">
        <f>_xlfn.XLOOKUP(calls[[#This Row],[Customer ID]],customers[Customer ID],customers[Age])</f>
        <v>43</v>
      </c>
      <c r="P290" s="22" t="str">
        <f>_xlfn.XLOOKUP(calls[[#This Row],[Customer ID]],customers[Customer ID],customers[City])</f>
        <v>Cleveland</v>
      </c>
    </row>
    <row r="291" spans="2:16" x14ac:dyDescent="0.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s="22" t="str">
        <f>IF(calls[[#This Row],[Rating rounded]]&gt;=4,"Happy")</f>
        <v>Happy</v>
      </c>
      <c r="N291" s="22" t="str">
        <f>_xlfn.XLOOKUP(calls[[#This Row],[Customer ID]],customers[Customer ID],customers[Gedner])</f>
        <v>Male</v>
      </c>
      <c r="O291" s="22">
        <f>_xlfn.XLOOKUP(calls[[#This Row],[Customer ID]],customers[Customer ID],customers[Age])</f>
        <v>36</v>
      </c>
      <c r="P291" s="22" t="str">
        <f>_xlfn.XLOOKUP(calls[[#This Row],[Customer ID]],customers[Customer ID],customers[City])</f>
        <v>Cincinnati</v>
      </c>
    </row>
    <row r="292" spans="2:16" x14ac:dyDescent="0.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s="22" t="str">
        <f>IF(calls[[#This Row],[Rating rounded]]&gt;=4,"Happy")</f>
        <v>Happy</v>
      </c>
      <c r="N292" s="22" t="str">
        <f>_xlfn.XLOOKUP(calls[[#This Row],[Customer ID]],customers[Customer ID],customers[Gedner])</f>
        <v>Female</v>
      </c>
      <c r="O292" s="22">
        <f>_xlfn.XLOOKUP(calls[[#This Row],[Customer ID]],customers[Customer ID],customers[Age])</f>
        <v>22</v>
      </c>
      <c r="P292" s="22" t="str">
        <f>_xlfn.XLOOKUP(calls[[#This Row],[Customer ID]],customers[Customer ID],customers[City])</f>
        <v>Cleveland</v>
      </c>
    </row>
    <row r="293" spans="2:16" x14ac:dyDescent="0.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s="22" t="str">
        <f>IF(calls[[#This Row],[Rating rounded]]&gt;=4,"Happy")</f>
        <v>Happy</v>
      </c>
      <c r="N293" s="22" t="str">
        <f>_xlfn.XLOOKUP(calls[[#This Row],[Customer ID]],customers[Customer ID],customers[Gedner])</f>
        <v>Female</v>
      </c>
      <c r="O293" s="22">
        <f>_xlfn.XLOOKUP(calls[[#This Row],[Customer ID]],customers[Customer ID],customers[Age])</f>
        <v>37</v>
      </c>
      <c r="P293" s="22" t="str">
        <f>_xlfn.XLOOKUP(calls[[#This Row],[Customer ID]],customers[Customer ID],customers[City])</f>
        <v>Cleveland</v>
      </c>
    </row>
    <row r="294" spans="2:16" x14ac:dyDescent="0.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s="22" t="str">
        <f>IF(calls[[#This Row],[Rating rounded]]&gt;=4,"Happy")</f>
        <v>Happy</v>
      </c>
      <c r="N294" s="22" t="str">
        <f>_xlfn.XLOOKUP(calls[[#This Row],[Customer ID]],customers[Customer ID],customers[Gedner])</f>
        <v>Female</v>
      </c>
      <c r="O294" s="22">
        <f>_xlfn.XLOOKUP(calls[[#This Row],[Customer ID]],customers[Customer ID],customers[Age])</f>
        <v>22</v>
      </c>
      <c r="P294" s="22" t="str">
        <f>_xlfn.XLOOKUP(calls[[#This Row],[Customer ID]],customers[Customer ID],customers[City])</f>
        <v>Cleveland</v>
      </c>
    </row>
    <row r="295" spans="2:16" x14ac:dyDescent="0.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s="22" t="str">
        <f>IF(calls[[#This Row],[Rating rounded]]&gt;=4,"Happy")</f>
        <v>Happy</v>
      </c>
      <c r="N295" s="22" t="str">
        <f>_xlfn.XLOOKUP(calls[[#This Row],[Customer ID]],customers[Customer ID],customers[Gedner])</f>
        <v>Female</v>
      </c>
      <c r="O295" s="22">
        <f>_xlfn.XLOOKUP(calls[[#This Row],[Customer ID]],customers[Customer ID],customers[Age])</f>
        <v>43</v>
      </c>
      <c r="P295" s="22" t="str">
        <f>_xlfn.XLOOKUP(calls[[#This Row],[Customer ID]],customers[Customer ID],customers[City])</f>
        <v>Cleveland</v>
      </c>
    </row>
    <row r="296" spans="2:16" x14ac:dyDescent="0.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s="22" t="str">
        <f>IF(calls[[#This Row],[Rating rounded]]&gt;=4,"Happy")</f>
        <v>Happy</v>
      </c>
      <c r="N296" s="22" t="str">
        <f>_xlfn.XLOOKUP(calls[[#This Row],[Customer ID]],customers[Customer ID],customers[Gedner])</f>
        <v>Female</v>
      </c>
      <c r="O296" s="22">
        <f>_xlfn.XLOOKUP(calls[[#This Row],[Customer ID]],customers[Customer ID],customers[Age])</f>
        <v>28</v>
      </c>
      <c r="P296" s="22" t="str">
        <f>_xlfn.XLOOKUP(calls[[#This Row],[Customer ID]],customers[Customer ID],customers[City])</f>
        <v>Cincinnati</v>
      </c>
    </row>
    <row r="297" spans="2:16" x14ac:dyDescent="0.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s="22" t="str">
        <f>IF(calls[[#This Row],[Rating rounded]]&gt;=4,"Happy")</f>
        <v>Happy</v>
      </c>
      <c r="N297" s="22" t="str">
        <f>_xlfn.XLOOKUP(calls[[#This Row],[Customer ID]],customers[Customer ID],customers[Gedner])</f>
        <v>Female</v>
      </c>
      <c r="O297" s="22">
        <f>_xlfn.XLOOKUP(calls[[#This Row],[Customer ID]],customers[Customer ID],customers[Age])</f>
        <v>37</v>
      </c>
      <c r="P297" s="22" t="str">
        <f>_xlfn.XLOOKUP(calls[[#This Row],[Customer ID]],customers[Customer ID],customers[City])</f>
        <v>Cleveland</v>
      </c>
    </row>
    <row r="298" spans="2:16" x14ac:dyDescent="0.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s="22" t="str">
        <f>IF(calls[[#This Row],[Rating rounded]]&gt;=4,"Happy")</f>
        <v>Happy</v>
      </c>
      <c r="N298" s="22" t="str">
        <f>_xlfn.XLOOKUP(calls[[#This Row],[Customer ID]],customers[Customer ID],customers[Gedner])</f>
        <v>Male</v>
      </c>
      <c r="O298" s="22">
        <f>_xlfn.XLOOKUP(calls[[#This Row],[Customer ID]],customers[Customer ID],customers[Age])</f>
        <v>37</v>
      </c>
      <c r="P298" s="22" t="str">
        <f>_xlfn.XLOOKUP(calls[[#This Row],[Customer ID]],customers[Customer ID],customers[City])</f>
        <v>Columbus</v>
      </c>
    </row>
    <row r="299" spans="2:16" x14ac:dyDescent="0.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s="22" t="b">
        <f>IF(calls[[#This Row],[Rating rounded]]&gt;=4,"Happy")</f>
        <v>0</v>
      </c>
      <c r="N299" s="22" t="str">
        <f>_xlfn.XLOOKUP(calls[[#This Row],[Customer ID]],customers[Customer ID],customers[Gedner])</f>
        <v>Female</v>
      </c>
      <c r="O299" s="22">
        <f>_xlfn.XLOOKUP(calls[[#This Row],[Customer ID]],customers[Customer ID],customers[Age])</f>
        <v>42</v>
      </c>
      <c r="P299" s="22" t="str">
        <f>_xlfn.XLOOKUP(calls[[#This Row],[Customer ID]],customers[Customer ID],customers[City])</f>
        <v>Cleveland</v>
      </c>
    </row>
    <row r="300" spans="2:16" x14ac:dyDescent="0.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s="22" t="str">
        <f>IF(calls[[#This Row],[Rating rounded]]&gt;=4,"Happy")</f>
        <v>Happy</v>
      </c>
      <c r="N300" s="22" t="str">
        <f>_xlfn.XLOOKUP(calls[[#This Row],[Customer ID]],customers[Customer ID],customers[Gedner])</f>
        <v>Male</v>
      </c>
      <c r="O300" s="22">
        <f>_xlfn.XLOOKUP(calls[[#This Row],[Customer ID]],customers[Customer ID],customers[Age])</f>
        <v>41</v>
      </c>
      <c r="P300" s="22" t="str">
        <f>_xlfn.XLOOKUP(calls[[#This Row],[Customer ID]],customers[Customer ID],customers[City])</f>
        <v>Columbus</v>
      </c>
    </row>
    <row r="301" spans="2:16" x14ac:dyDescent="0.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s="22" t="b">
        <f>IF(calls[[#This Row],[Rating rounded]]&gt;=4,"Happy")</f>
        <v>0</v>
      </c>
      <c r="N301" s="22" t="str">
        <f>_xlfn.XLOOKUP(calls[[#This Row],[Customer ID]],customers[Customer ID],customers[Gedner])</f>
        <v>Female</v>
      </c>
      <c r="O301" s="22">
        <f>_xlfn.XLOOKUP(calls[[#This Row],[Customer ID]],customers[Customer ID],customers[Age])</f>
        <v>30</v>
      </c>
      <c r="P301" s="22" t="str">
        <f>_xlfn.XLOOKUP(calls[[#This Row],[Customer ID]],customers[Customer ID],customers[City])</f>
        <v>Cincinnati</v>
      </c>
    </row>
    <row r="302" spans="2:16" x14ac:dyDescent="0.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s="22" t="str">
        <f>IF(calls[[#This Row],[Rating rounded]]&gt;=4,"Happy")</f>
        <v>Happy</v>
      </c>
      <c r="N302" s="22" t="str">
        <f>_xlfn.XLOOKUP(calls[[#This Row],[Customer ID]],customers[Customer ID],customers[Gedner])</f>
        <v>Male</v>
      </c>
      <c r="O302" s="22">
        <f>_xlfn.XLOOKUP(calls[[#This Row],[Customer ID]],customers[Customer ID],customers[Age])</f>
        <v>41</v>
      </c>
      <c r="P302" s="22" t="str">
        <f>_xlfn.XLOOKUP(calls[[#This Row],[Customer ID]],customers[Customer ID],customers[City])</f>
        <v>Columbus</v>
      </c>
    </row>
    <row r="303" spans="2:16" x14ac:dyDescent="0.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s="22" t="b">
        <f>IF(calls[[#This Row],[Rating rounded]]&gt;=4,"Happy")</f>
        <v>0</v>
      </c>
      <c r="N303" s="22" t="str">
        <f>_xlfn.XLOOKUP(calls[[#This Row],[Customer ID]],customers[Customer ID],customers[Gedner])</f>
        <v>Female</v>
      </c>
      <c r="O303" s="22">
        <f>_xlfn.XLOOKUP(calls[[#This Row],[Customer ID]],customers[Customer ID],customers[Age])</f>
        <v>25</v>
      </c>
      <c r="P303" s="22" t="str">
        <f>_xlfn.XLOOKUP(calls[[#This Row],[Customer ID]],customers[Customer ID],customers[City])</f>
        <v>Columbus</v>
      </c>
    </row>
    <row r="304" spans="2:16" x14ac:dyDescent="0.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s="22" t="b">
        <f>IF(calls[[#This Row],[Rating rounded]]&gt;=4,"Happy")</f>
        <v>0</v>
      </c>
      <c r="N304" s="22" t="str">
        <f>_xlfn.XLOOKUP(calls[[#This Row],[Customer ID]],customers[Customer ID],customers[Gedner])</f>
        <v>Male</v>
      </c>
      <c r="O304" s="22">
        <f>_xlfn.XLOOKUP(calls[[#This Row],[Customer ID]],customers[Customer ID],customers[Age])</f>
        <v>26</v>
      </c>
      <c r="P304" s="22" t="str">
        <f>_xlfn.XLOOKUP(calls[[#This Row],[Customer ID]],customers[Customer ID],customers[City])</f>
        <v>Cincinnati</v>
      </c>
    </row>
    <row r="305" spans="2:16" x14ac:dyDescent="0.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s="22" t="b">
        <f>IF(calls[[#This Row],[Rating rounded]]&gt;=4,"Happy")</f>
        <v>0</v>
      </c>
      <c r="N305" s="22" t="str">
        <f>_xlfn.XLOOKUP(calls[[#This Row],[Customer ID]],customers[Customer ID],customers[Gedner])</f>
        <v>Female</v>
      </c>
      <c r="O305" s="22">
        <f>_xlfn.XLOOKUP(calls[[#This Row],[Customer ID]],customers[Customer ID],customers[Age])</f>
        <v>38</v>
      </c>
      <c r="P305" s="22" t="str">
        <f>_xlfn.XLOOKUP(calls[[#This Row],[Customer ID]],customers[Customer ID],customers[City])</f>
        <v>Columbus</v>
      </c>
    </row>
    <row r="306" spans="2:16" x14ac:dyDescent="0.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s="22" t="str">
        <f>IF(calls[[#This Row],[Rating rounded]]&gt;=4,"Happy")</f>
        <v>Happy</v>
      </c>
      <c r="N306" s="22" t="str">
        <f>_xlfn.XLOOKUP(calls[[#This Row],[Customer ID]],customers[Customer ID],customers[Gedner])</f>
        <v>Female</v>
      </c>
      <c r="O306" s="22">
        <f>_xlfn.XLOOKUP(calls[[#This Row],[Customer ID]],customers[Customer ID],customers[Age])</f>
        <v>30</v>
      </c>
      <c r="P306" s="22" t="str">
        <f>_xlfn.XLOOKUP(calls[[#This Row],[Customer ID]],customers[Customer ID],customers[City])</f>
        <v>Cleveland</v>
      </c>
    </row>
    <row r="307" spans="2:16" x14ac:dyDescent="0.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s="22" t="str">
        <f>IF(calls[[#This Row],[Rating rounded]]&gt;=4,"Happy")</f>
        <v>Happy</v>
      </c>
      <c r="N307" s="22" t="str">
        <f>_xlfn.XLOOKUP(calls[[#This Row],[Customer ID]],customers[Customer ID],customers[Gedner])</f>
        <v>Male</v>
      </c>
      <c r="O307" s="22">
        <f>_xlfn.XLOOKUP(calls[[#This Row],[Customer ID]],customers[Customer ID],customers[Age])</f>
        <v>37</v>
      </c>
      <c r="P307" s="22" t="str">
        <f>_xlfn.XLOOKUP(calls[[#This Row],[Customer ID]],customers[Customer ID],customers[City])</f>
        <v>Columbus</v>
      </c>
    </row>
    <row r="308" spans="2:16" x14ac:dyDescent="0.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s="22" t="str">
        <f>IF(calls[[#This Row],[Rating rounded]]&gt;=4,"Happy")</f>
        <v>Happy</v>
      </c>
      <c r="N308" s="22" t="str">
        <f>_xlfn.XLOOKUP(calls[[#This Row],[Customer ID]],customers[Customer ID],customers[Gedner])</f>
        <v>Female</v>
      </c>
      <c r="O308" s="22">
        <f>_xlfn.XLOOKUP(calls[[#This Row],[Customer ID]],customers[Customer ID],customers[Age])</f>
        <v>37</v>
      </c>
      <c r="P308" s="22" t="str">
        <f>_xlfn.XLOOKUP(calls[[#This Row],[Customer ID]],customers[Customer ID],customers[City])</f>
        <v>Cleveland</v>
      </c>
    </row>
    <row r="309" spans="2:16" x14ac:dyDescent="0.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s="22" t="str">
        <f>IF(calls[[#This Row],[Rating rounded]]&gt;=4,"Happy")</f>
        <v>Happy</v>
      </c>
      <c r="N309" s="22" t="str">
        <f>_xlfn.XLOOKUP(calls[[#This Row],[Customer ID]],customers[Customer ID],customers[Gedner])</f>
        <v>Female</v>
      </c>
      <c r="O309" s="22">
        <f>_xlfn.XLOOKUP(calls[[#This Row],[Customer ID]],customers[Customer ID],customers[Age])</f>
        <v>28</v>
      </c>
      <c r="P309" s="22" t="str">
        <f>_xlfn.XLOOKUP(calls[[#This Row],[Customer ID]],customers[Customer ID],customers[City])</f>
        <v>Cincinnati</v>
      </c>
    </row>
    <row r="310" spans="2:16" x14ac:dyDescent="0.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s="22" t="b">
        <f>IF(calls[[#This Row],[Rating rounded]]&gt;=4,"Happy")</f>
        <v>0</v>
      </c>
      <c r="N310" s="22" t="str">
        <f>_xlfn.XLOOKUP(calls[[#This Row],[Customer ID]],customers[Customer ID],customers[Gedner])</f>
        <v>Male</v>
      </c>
      <c r="O310" s="22">
        <f>_xlfn.XLOOKUP(calls[[#This Row],[Customer ID]],customers[Customer ID],customers[Age])</f>
        <v>36</v>
      </c>
      <c r="P310" s="22" t="str">
        <f>_xlfn.XLOOKUP(calls[[#This Row],[Customer ID]],customers[Customer ID],customers[City])</f>
        <v>Cincinnati</v>
      </c>
    </row>
    <row r="311" spans="2:16" x14ac:dyDescent="0.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s="22" t="str">
        <f>IF(calls[[#This Row],[Rating rounded]]&gt;=4,"Happy")</f>
        <v>Happy</v>
      </c>
      <c r="N311" s="22" t="str">
        <f>_xlfn.XLOOKUP(calls[[#This Row],[Customer ID]],customers[Customer ID],customers[Gedner])</f>
        <v>Male</v>
      </c>
      <c r="O311" s="22">
        <f>_xlfn.XLOOKUP(calls[[#This Row],[Customer ID]],customers[Customer ID],customers[Age])</f>
        <v>37</v>
      </c>
      <c r="P311" s="22" t="str">
        <f>_xlfn.XLOOKUP(calls[[#This Row],[Customer ID]],customers[Customer ID],customers[City])</f>
        <v>Columbus</v>
      </c>
    </row>
    <row r="312" spans="2:16" x14ac:dyDescent="0.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s="22" t="str">
        <f>IF(calls[[#This Row],[Rating rounded]]&gt;=4,"Happy")</f>
        <v>Happy</v>
      </c>
      <c r="N312" s="22" t="str">
        <f>_xlfn.XLOOKUP(calls[[#This Row],[Customer ID]],customers[Customer ID],customers[Gedner])</f>
        <v>Male</v>
      </c>
      <c r="O312" s="22">
        <f>_xlfn.XLOOKUP(calls[[#This Row],[Customer ID]],customers[Customer ID],customers[Age])</f>
        <v>23</v>
      </c>
      <c r="P312" s="22" t="str">
        <f>_xlfn.XLOOKUP(calls[[#This Row],[Customer ID]],customers[Customer ID],customers[City])</f>
        <v>Columbus</v>
      </c>
    </row>
    <row r="313" spans="2:16" x14ac:dyDescent="0.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s="22" t="str">
        <f>IF(calls[[#This Row],[Rating rounded]]&gt;=4,"Happy")</f>
        <v>Happy</v>
      </c>
      <c r="N313" s="22" t="str">
        <f>_xlfn.XLOOKUP(calls[[#This Row],[Customer ID]],customers[Customer ID],customers[Gedner])</f>
        <v>Male</v>
      </c>
      <c r="O313" s="22">
        <f>_xlfn.XLOOKUP(calls[[#This Row],[Customer ID]],customers[Customer ID],customers[Age])</f>
        <v>23</v>
      </c>
      <c r="P313" s="22" t="str">
        <f>_xlfn.XLOOKUP(calls[[#This Row],[Customer ID]],customers[Customer ID],customers[City])</f>
        <v>Columbus</v>
      </c>
    </row>
    <row r="314" spans="2:16" x14ac:dyDescent="0.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s="22" t="str">
        <f>IF(calls[[#This Row],[Rating rounded]]&gt;=4,"Happy")</f>
        <v>Happy</v>
      </c>
      <c r="N314" s="22" t="str">
        <f>_xlfn.XLOOKUP(calls[[#This Row],[Customer ID]],customers[Customer ID],customers[Gedner])</f>
        <v>Female</v>
      </c>
      <c r="O314" s="22">
        <f>_xlfn.XLOOKUP(calls[[#This Row],[Customer ID]],customers[Customer ID],customers[Age])</f>
        <v>30</v>
      </c>
      <c r="P314" s="22" t="str">
        <f>_xlfn.XLOOKUP(calls[[#This Row],[Customer ID]],customers[Customer ID],customers[City])</f>
        <v>Cleveland</v>
      </c>
    </row>
    <row r="315" spans="2:16" x14ac:dyDescent="0.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s="22" t="str">
        <f>IF(calls[[#This Row],[Rating rounded]]&gt;=4,"Happy")</f>
        <v>Happy</v>
      </c>
      <c r="N315" s="22" t="str">
        <f>_xlfn.XLOOKUP(calls[[#This Row],[Customer ID]],customers[Customer ID],customers[Gedner])</f>
        <v>Female</v>
      </c>
      <c r="O315" s="22">
        <f>_xlfn.XLOOKUP(calls[[#This Row],[Customer ID]],customers[Customer ID],customers[Age])</f>
        <v>28</v>
      </c>
      <c r="P315" s="22" t="str">
        <f>_xlfn.XLOOKUP(calls[[#This Row],[Customer ID]],customers[Customer ID],customers[City])</f>
        <v>Cincinnati</v>
      </c>
    </row>
    <row r="316" spans="2:16" x14ac:dyDescent="0.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s="22" t="str">
        <f>IF(calls[[#This Row],[Rating rounded]]&gt;=4,"Happy")</f>
        <v>Happy</v>
      </c>
      <c r="N316" s="22" t="str">
        <f>_xlfn.XLOOKUP(calls[[#This Row],[Customer ID]],customers[Customer ID],customers[Gedner])</f>
        <v>Female</v>
      </c>
      <c r="O316" s="22">
        <f>_xlfn.XLOOKUP(calls[[#This Row],[Customer ID]],customers[Customer ID],customers[Age])</f>
        <v>38</v>
      </c>
      <c r="P316" s="22" t="str">
        <f>_xlfn.XLOOKUP(calls[[#This Row],[Customer ID]],customers[Customer ID],customers[City])</f>
        <v>Columbus</v>
      </c>
    </row>
    <row r="317" spans="2:16" x14ac:dyDescent="0.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s="22" t="str">
        <f>IF(calls[[#This Row],[Rating rounded]]&gt;=4,"Happy")</f>
        <v>Happy</v>
      </c>
      <c r="N317" s="22" t="str">
        <f>_xlfn.XLOOKUP(calls[[#This Row],[Customer ID]],customers[Customer ID],customers[Gedner])</f>
        <v>Female</v>
      </c>
      <c r="O317" s="22">
        <f>_xlfn.XLOOKUP(calls[[#This Row],[Customer ID]],customers[Customer ID],customers[Age])</f>
        <v>22</v>
      </c>
      <c r="P317" s="22" t="str">
        <f>_xlfn.XLOOKUP(calls[[#This Row],[Customer ID]],customers[Customer ID],customers[City])</f>
        <v>Cleveland</v>
      </c>
    </row>
    <row r="318" spans="2:16" x14ac:dyDescent="0.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s="22" t="str">
        <f>IF(calls[[#This Row],[Rating rounded]]&gt;=4,"Happy")</f>
        <v>Happy</v>
      </c>
      <c r="N318" s="22" t="str">
        <f>_xlfn.XLOOKUP(calls[[#This Row],[Customer ID]],customers[Customer ID],customers[Gedner])</f>
        <v>Female</v>
      </c>
      <c r="O318" s="22">
        <f>_xlfn.XLOOKUP(calls[[#This Row],[Customer ID]],customers[Customer ID],customers[Age])</f>
        <v>43</v>
      </c>
      <c r="P318" s="22" t="str">
        <f>_xlfn.XLOOKUP(calls[[#This Row],[Customer ID]],customers[Customer ID],customers[City])</f>
        <v>Cleveland</v>
      </c>
    </row>
    <row r="319" spans="2:16" x14ac:dyDescent="0.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s="22" t="str">
        <f>IF(calls[[#This Row],[Rating rounded]]&gt;=4,"Happy")</f>
        <v>Happy</v>
      </c>
      <c r="N319" s="22" t="str">
        <f>_xlfn.XLOOKUP(calls[[#This Row],[Customer ID]],customers[Customer ID],customers[Gedner])</f>
        <v>Female</v>
      </c>
      <c r="O319" s="22">
        <f>_xlfn.XLOOKUP(calls[[#This Row],[Customer ID]],customers[Customer ID],customers[Age])</f>
        <v>37</v>
      </c>
      <c r="P319" s="22" t="str">
        <f>_xlfn.XLOOKUP(calls[[#This Row],[Customer ID]],customers[Customer ID],customers[City])</f>
        <v>Cleveland</v>
      </c>
    </row>
    <row r="320" spans="2:16" x14ac:dyDescent="0.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s="22" t="str">
        <f>IF(calls[[#This Row],[Rating rounded]]&gt;=4,"Happy")</f>
        <v>Happy</v>
      </c>
      <c r="N320" s="22" t="str">
        <f>_xlfn.XLOOKUP(calls[[#This Row],[Customer ID]],customers[Customer ID],customers[Gedner])</f>
        <v>Female</v>
      </c>
      <c r="O320" s="22">
        <f>_xlfn.XLOOKUP(calls[[#This Row],[Customer ID]],customers[Customer ID],customers[Age])</f>
        <v>43</v>
      </c>
      <c r="P320" s="22" t="str">
        <f>_xlfn.XLOOKUP(calls[[#This Row],[Customer ID]],customers[Customer ID],customers[City])</f>
        <v>Cleveland</v>
      </c>
    </row>
    <row r="321" spans="2:16" x14ac:dyDescent="0.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s="22" t="str">
        <f>IF(calls[[#This Row],[Rating rounded]]&gt;=4,"Happy")</f>
        <v>Happy</v>
      </c>
      <c r="N321" s="22" t="str">
        <f>_xlfn.XLOOKUP(calls[[#This Row],[Customer ID]],customers[Customer ID],customers[Gedner])</f>
        <v>Male</v>
      </c>
      <c r="O321" s="22">
        <f>_xlfn.XLOOKUP(calls[[#This Row],[Customer ID]],customers[Customer ID],customers[Age])</f>
        <v>37</v>
      </c>
      <c r="P321" s="22" t="str">
        <f>_xlfn.XLOOKUP(calls[[#This Row],[Customer ID]],customers[Customer ID],customers[City])</f>
        <v>Columbus</v>
      </c>
    </row>
    <row r="322" spans="2:16" x14ac:dyDescent="0.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s="22" t="str">
        <f>IF(calls[[#This Row],[Rating rounded]]&gt;=4,"Happy")</f>
        <v>Happy</v>
      </c>
      <c r="N322" s="22" t="str">
        <f>_xlfn.XLOOKUP(calls[[#This Row],[Customer ID]],customers[Customer ID],customers[Gedner])</f>
        <v>Male</v>
      </c>
      <c r="O322" s="22">
        <f>_xlfn.XLOOKUP(calls[[#This Row],[Customer ID]],customers[Customer ID],customers[Age])</f>
        <v>23</v>
      </c>
      <c r="P322" s="22" t="str">
        <f>_xlfn.XLOOKUP(calls[[#This Row],[Customer ID]],customers[Customer ID],customers[City])</f>
        <v>Columbus</v>
      </c>
    </row>
    <row r="323" spans="2:16" x14ac:dyDescent="0.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s="22" t="str">
        <f>IF(calls[[#This Row],[Rating rounded]]&gt;=4,"Happy")</f>
        <v>Happy</v>
      </c>
      <c r="N323" s="22" t="str">
        <f>_xlfn.XLOOKUP(calls[[#This Row],[Customer ID]],customers[Customer ID],customers[Gedner])</f>
        <v>Male</v>
      </c>
      <c r="O323" s="22">
        <f>_xlfn.XLOOKUP(calls[[#This Row],[Customer ID]],customers[Customer ID],customers[Age])</f>
        <v>23</v>
      </c>
      <c r="P323" s="22" t="str">
        <f>_xlfn.XLOOKUP(calls[[#This Row],[Customer ID]],customers[Customer ID],customers[City])</f>
        <v>Columbus</v>
      </c>
    </row>
    <row r="324" spans="2:16" x14ac:dyDescent="0.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s="22" t="b">
        <f>IF(calls[[#This Row],[Rating rounded]]&gt;=4,"Happy")</f>
        <v>0</v>
      </c>
      <c r="N324" s="22" t="str">
        <f>_xlfn.XLOOKUP(calls[[#This Row],[Customer ID]],customers[Customer ID],customers[Gedner])</f>
        <v>Female</v>
      </c>
      <c r="O324" s="22">
        <f>_xlfn.XLOOKUP(calls[[#This Row],[Customer ID]],customers[Customer ID],customers[Age])</f>
        <v>25</v>
      </c>
      <c r="P324" s="22" t="str">
        <f>_xlfn.XLOOKUP(calls[[#This Row],[Customer ID]],customers[Customer ID],customers[City])</f>
        <v>Columbus</v>
      </c>
    </row>
    <row r="325" spans="2:16" x14ac:dyDescent="0.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s="22" t="str">
        <f>IF(calls[[#This Row],[Rating rounded]]&gt;=4,"Happy")</f>
        <v>Happy</v>
      </c>
      <c r="N325" s="22" t="str">
        <f>_xlfn.XLOOKUP(calls[[#This Row],[Customer ID]],customers[Customer ID],customers[Gedner])</f>
        <v>Male</v>
      </c>
      <c r="O325" s="22">
        <f>_xlfn.XLOOKUP(calls[[#This Row],[Customer ID]],customers[Customer ID],customers[Age])</f>
        <v>41</v>
      </c>
      <c r="P325" s="22" t="str">
        <f>_xlfn.XLOOKUP(calls[[#This Row],[Customer ID]],customers[Customer ID],customers[City])</f>
        <v>Columbus</v>
      </c>
    </row>
    <row r="326" spans="2:16" x14ac:dyDescent="0.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s="22" t="str">
        <f>IF(calls[[#This Row],[Rating rounded]]&gt;=4,"Happy")</f>
        <v>Happy</v>
      </c>
      <c r="N326" s="22" t="str">
        <f>_xlfn.XLOOKUP(calls[[#This Row],[Customer ID]],customers[Customer ID],customers[Gedner])</f>
        <v>Male</v>
      </c>
      <c r="O326" s="22">
        <f>_xlfn.XLOOKUP(calls[[#This Row],[Customer ID]],customers[Customer ID],customers[Age])</f>
        <v>41</v>
      </c>
      <c r="P326" s="22" t="str">
        <f>_xlfn.XLOOKUP(calls[[#This Row],[Customer ID]],customers[Customer ID],customers[City])</f>
        <v>Columbus</v>
      </c>
    </row>
    <row r="327" spans="2:16" x14ac:dyDescent="0.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s="22" t="str">
        <f>IF(calls[[#This Row],[Rating rounded]]&gt;=4,"Happy")</f>
        <v>Happy</v>
      </c>
      <c r="N327" s="22" t="str">
        <f>_xlfn.XLOOKUP(calls[[#This Row],[Customer ID]],customers[Customer ID],customers[Gedner])</f>
        <v>Female</v>
      </c>
      <c r="O327" s="22">
        <f>_xlfn.XLOOKUP(calls[[#This Row],[Customer ID]],customers[Customer ID],customers[Age])</f>
        <v>22</v>
      </c>
      <c r="P327" s="22" t="str">
        <f>_xlfn.XLOOKUP(calls[[#This Row],[Customer ID]],customers[Customer ID],customers[City])</f>
        <v>Cleveland</v>
      </c>
    </row>
    <row r="328" spans="2:16" x14ac:dyDescent="0.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s="22" t="str">
        <f>IF(calls[[#This Row],[Rating rounded]]&gt;=4,"Happy")</f>
        <v>Happy</v>
      </c>
      <c r="N328" s="22" t="str">
        <f>_xlfn.XLOOKUP(calls[[#This Row],[Customer ID]],customers[Customer ID],customers[Gedner])</f>
        <v>Female</v>
      </c>
      <c r="O328" s="22">
        <f>_xlfn.XLOOKUP(calls[[#This Row],[Customer ID]],customers[Customer ID],customers[Age])</f>
        <v>43</v>
      </c>
      <c r="P328" s="22" t="str">
        <f>_xlfn.XLOOKUP(calls[[#This Row],[Customer ID]],customers[Customer ID],customers[City])</f>
        <v>Cleveland</v>
      </c>
    </row>
    <row r="329" spans="2:16" x14ac:dyDescent="0.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s="22" t="b">
        <f>IF(calls[[#This Row],[Rating rounded]]&gt;=4,"Happy")</f>
        <v>0</v>
      </c>
      <c r="N329" s="22" t="str">
        <f>_xlfn.XLOOKUP(calls[[#This Row],[Customer ID]],customers[Customer ID],customers[Gedner])</f>
        <v>Male</v>
      </c>
      <c r="O329" s="22">
        <f>_xlfn.XLOOKUP(calls[[#This Row],[Customer ID]],customers[Customer ID],customers[Age])</f>
        <v>36</v>
      </c>
      <c r="P329" s="22" t="str">
        <f>_xlfn.XLOOKUP(calls[[#This Row],[Customer ID]],customers[Customer ID],customers[City])</f>
        <v>Cincinnati</v>
      </c>
    </row>
    <row r="330" spans="2:16" x14ac:dyDescent="0.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s="22" t="str">
        <f>IF(calls[[#This Row],[Rating rounded]]&gt;=4,"Happy")</f>
        <v>Happy</v>
      </c>
      <c r="N330" s="22" t="str">
        <f>_xlfn.XLOOKUP(calls[[#This Row],[Customer ID]],customers[Customer ID],customers[Gedner])</f>
        <v>Female</v>
      </c>
      <c r="O330" s="22">
        <f>_xlfn.XLOOKUP(calls[[#This Row],[Customer ID]],customers[Customer ID],customers[Age])</f>
        <v>42</v>
      </c>
      <c r="P330" s="22" t="str">
        <f>_xlfn.XLOOKUP(calls[[#This Row],[Customer ID]],customers[Customer ID],customers[City])</f>
        <v>Cleveland</v>
      </c>
    </row>
    <row r="331" spans="2:16" x14ac:dyDescent="0.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s="22" t="b">
        <f>IF(calls[[#This Row],[Rating rounded]]&gt;=4,"Happy")</f>
        <v>0</v>
      </c>
      <c r="N331" s="22" t="str">
        <f>_xlfn.XLOOKUP(calls[[#This Row],[Customer ID]],customers[Customer ID],customers[Gedner])</f>
        <v>Female</v>
      </c>
      <c r="O331" s="22">
        <f>_xlfn.XLOOKUP(calls[[#This Row],[Customer ID]],customers[Customer ID],customers[Age])</f>
        <v>25</v>
      </c>
      <c r="P331" s="22" t="str">
        <f>_xlfn.XLOOKUP(calls[[#This Row],[Customer ID]],customers[Customer ID],customers[City])</f>
        <v>Columbus</v>
      </c>
    </row>
    <row r="332" spans="2:16" x14ac:dyDescent="0.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s="22" t="str">
        <f>IF(calls[[#This Row],[Rating rounded]]&gt;=4,"Happy")</f>
        <v>Happy</v>
      </c>
      <c r="N332" s="22" t="str">
        <f>_xlfn.XLOOKUP(calls[[#This Row],[Customer ID]],customers[Customer ID],customers[Gedner])</f>
        <v>Female</v>
      </c>
      <c r="O332" s="22">
        <f>_xlfn.XLOOKUP(calls[[#This Row],[Customer ID]],customers[Customer ID],customers[Age])</f>
        <v>30</v>
      </c>
      <c r="P332" s="22" t="str">
        <f>_xlfn.XLOOKUP(calls[[#This Row],[Customer ID]],customers[Customer ID],customers[City])</f>
        <v>Cleveland</v>
      </c>
    </row>
    <row r="333" spans="2:16" x14ac:dyDescent="0.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s="22" t="str">
        <f>IF(calls[[#This Row],[Rating rounded]]&gt;=4,"Happy")</f>
        <v>Happy</v>
      </c>
      <c r="N333" s="22" t="str">
        <f>_xlfn.XLOOKUP(calls[[#This Row],[Customer ID]],customers[Customer ID],customers[Gedner])</f>
        <v>Male</v>
      </c>
      <c r="O333" s="22">
        <f>_xlfn.XLOOKUP(calls[[#This Row],[Customer ID]],customers[Customer ID],customers[Age])</f>
        <v>41</v>
      </c>
      <c r="P333" s="22" t="str">
        <f>_xlfn.XLOOKUP(calls[[#This Row],[Customer ID]],customers[Customer ID],customers[City])</f>
        <v>Columbus</v>
      </c>
    </row>
    <row r="334" spans="2:16" x14ac:dyDescent="0.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s="22" t="b">
        <f>IF(calls[[#This Row],[Rating rounded]]&gt;=4,"Happy")</f>
        <v>0</v>
      </c>
      <c r="N334" s="22" t="str">
        <f>_xlfn.XLOOKUP(calls[[#This Row],[Customer ID]],customers[Customer ID],customers[Gedner])</f>
        <v>Female</v>
      </c>
      <c r="O334" s="22">
        <f>_xlfn.XLOOKUP(calls[[#This Row],[Customer ID]],customers[Customer ID],customers[Age])</f>
        <v>30</v>
      </c>
      <c r="P334" s="22" t="str">
        <f>_xlfn.XLOOKUP(calls[[#This Row],[Customer ID]],customers[Customer ID],customers[City])</f>
        <v>Cincinnati</v>
      </c>
    </row>
    <row r="335" spans="2:16" x14ac:dyDescent="0.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s="22" t="str">
        <f>IF(calls[[#This Row],[Rating rounded]]&gt;=4,"Happy")</f>
        <v>Happy</v>
      </c>
      <c r="N335" s="22" t="str">
        <f>_xlfn.XLOOKUP(calls[[#This Row],[Customer ID]],customers[Customer ID],customers[Gedner])</f>
        <v>Female</v>
      </c>
      <c r="O335" s="22">
        <f>_xlfn.XLOOKUP(calls[[#This Row],[Customer ID]],customers[Customer ID],customers[Age])</f>
        <v>28</v>
      </c>
      <c r="P335" s="22" t="str">
        <f>_xlfn.XLOOKUP(calls[[#This Row],[Customer ID]],customers[Customer ID],customers[City])</f>
        <v>Cincinnati</v>
      </c>
    </row>
    <row r="336" spans="2:16" x14ac:dyDescent="0.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s="22" t="str">
        <f>IF(calls[[#This Row],[Rating rounded]]&gt;=4,"Happy")</f>
        <v>Happy</v>
      </c>
      <c r="N336" s="22" t="str">
        <f>_xlfn.XLOOKUP(calls[[#This Row],[Customer ID]],customers[Customer ID],customers[Gedner])</f>
        <v>Male</v>
      </c>
      <c r="O336" s="22">
        <f>_xlfn.XLOOKUP(calls[[#This Row],[Customer ID]],customers[Customer ID],customers[Age])</f>
        <v>41</v>
      </c>
      <c r="P336" s="22" t="str">
        <f>_xlfn.XLOOKUP(calls[[#This Row],[Customer ID]],customers[Customer ID],customers[City])</f>
        <v>Columbus</v>
      </c>
    </row>
    <row r="337" spans="2:16" x14ac:dyDescent="0.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s="22" t="str">
        <f>IF(calls[[#This Row],[Rating rounded]]&gt;=4,"Happy")</f>
        <v>Happy</v>
      </c>
      <c r="N337" s="22" t="str">
        <f>_xlfn.XLOOKUP(calls[[#This Row],[Customer ID]],customers[Customer ID],customers[Gedner])</f>
        <v>Male</v>
      </c>
      <c r="O337" s="22">
        <f>_xlfn.XLOOKUP(calls[[#This Row],[Customer ID]],customers[Customer ID],customers[Age])</f>
        <v>37</v>
      </c>
      <c r="P337" s="22" t="str">
        <f>_xlfn.XLOOKUP(calls[[#This Row],[Customer ID]],customers[Customer ID],customers[City])</f>
        <v>Columbus</v>
      </c>
    </row>
    <row r="338" spans="2:16" x14ac:dyDescent="0.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s="22" t="b">
        <f>IF(calls[[#This Row],[Rating rounded]]&gt;=4,"Happy")</f>
        <v>0</v>
      </c>
      <c r="N338" s="22" t="str">
        <f>_xlfn.XLOOKUP(calls[[#This Row],[Customer ID]],customers[Customer ID],customers[Gedner])</f>
        <v>Female</v>
      </c>
      <c r="O338" s="22">
        <f>_xlfn.XLOOKUP(calls[[#This Row],[Customer ID]],customers[Customer ID],customers[Age])</f>
        <v>25</v>
      </c>
      <c r="P338" s="22" t="str">
        <f>_xlfn.XLOOKUP(calls[[#This Row],[Customer ID]],customers[Customer ID],customers[City])</f>
        <v>Columbus</v>
      </c>
    </row>
    <row r="339" spans="2:16" x14ac:dyDescent="0.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s="22" t="str">
        <f>IF(calls[[#This Row],[Rating rounded]]&gt;=4,"Happy")</f>
        <v>Happy</v>
      </c>
      <c r="N339" s="22" t="str">
        <f>_xlfn.XLOOKUP(calls[[#This Row],[Customer ID]],customers[Customer ID],customers[Gedner])</f>
        <v>Male</v>
      </c>
      <c r="O339" s="22">
        <f>_xlfn.XLOOKUP(calls[[#This Row],[Customer ID]],customers[Customer ID],customers[Age])</f>
        <v>37</v>
      </c>
      <c r="P339" s="22" t="str">
        <f>_xlfn.XLOOKUP(calls[[#This Row],[Customer ID]],customers[Customer ID],customers[City])</f>
        <v>Columbus</v>
      </c>
    </row>
    <row r="340" spans="2:16" x14ac:dyDescent="0.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s="22" t="b">
        <f>IF(calls[[#This Row],[Rating rounded]]&gt;=4,"Happy")</f>
        <v>0</v>
      </c>
      <c r="N340" s="22" t="str">
        <f>_xlfn.XLOOKUP(calls[[#This Row],[Customer ID]],customers[Customer ID],customers[Gedner])</f>
        <v>Female</v>
      </c>
      <c r="O340" s="22">
        <f>_xlfn.XLOOKUP(calls[[#This Row],[Customer ID]],customers[Customer ID],customers[Age])</f>
        <v>43</v>
      </c>
      <c r="P340" s="22" t="str">
        <f>_xlfn.XLOOKUP(calls[[#This Row],[Customer ID]],customers[Customer ID],customers[City])</f>
        <v>Cleveland</v>
      </c>
    </row>
    <row r="341" spans="2:16" x14ac:dyDescent="0.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s="22" t="str">
        <f>IF(calls[[#This Row],[Rating rounded]]&gt;=4,"Happy")</f>
        <v>Happy</v>
      </c>
      <c r="N341" s="22" t="str">
        <f>_xlfn.XLOOKUP(calls[[#This Row],[Customer ID]],customers[Customer ID],customers[Gedner])</f>
        <v>Male</v>
      </c>
      <c r="O341" s="22">
        <f>_xlfn.XLOOKUP(calls[[#This Row],[Customer ID]],customers[Customer ID],customers[Age])</f>
        <v>36</v>
      </c>
      <c r="P341" s="22" t="str">
        <f>_xlfn.XLOOKUP(calls[[#This Row],[Customer ID]],customers[Customer ID],customers[City])</f>
        <v>Cincinnati</v>
      </c>
    </row>
    <row r="342" spans="2:16" x14ac:dyDescent="0.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s="22" t="b">
        <f>IF(calls[[#This Row],[Rating rounded]]&gt;=4,"Happy")</f>
        <v>0</v>
      </c>
      <c r="N342" s="22" t="str">
        <f>_xlfn.XLOOKUP(calls[[#This Row],[Customer ID]],customers[Customer ID],customers[Gedner])</f>
        <v>Male</v>
      </c>
      <c r="O342" s="22">
        <f>_xlfn.XLOOKUP(calls[[#This Row],[Customer ID]],customers[Customer ID],customers[Age])</f>
        <v>23</v>
      </c>
      <c r="P342" s="22" t="str">
        <f>_xlfn.XLOOKUP(calls[[#This Row],[Customer ID]],customers[Customer ID],customers[City])</f>
        <v>Columbus</v>
      </c>
    </row>
    <row r="343" spans="2:16" x14ac:dyDescent="0.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s="22" t="str">
        <f>IF(calls[[#This Row],[Rating rounded]]&gt;=4,"Happy")</f>
        <v>Happy</v>
      </c>
      <c r="N343" s="22" t="str">
        <f>_xlfn.XLOOKUP(calls[[#This Row],[Customer ID]],customers[Customer ID],customers[Gedner])</f>
        <v>Male</v>
      </c>
      <c r="O343" s="22">
        <f>_xlfn.XLOOKUP(calls[[#This Row],[Customer ID]],customers[Customer ID],customers[Age])</f>
        <v>31</v>
      </c>
      <c r="P343" s="22" t="str">
        <f>_xlfn.XLOOKUP(calls[[#This Row],[Customer ID]],customers[Customer ID],customers[City])</f>
        <v>Cleveland</v>
      </c>
    </row>
    <row r="344" spans="2:16" x14ac:dyDescent="0.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s="22" t="str">
        <f>IF(calls[[#This Row],[Rating rounded]]&gt;=4,"Happy")</f>
        <v>Happy</v>
      </c>
      <c r="N344" s="22" t="str">
        <f>_xlfn.XLOOKUP(calls[[#This Row],[Customer ID]],customers[Customer ID],customers[Gedner])</f>
        <v>Male</v>
      </c>
      <c r="O344" s="22">
        <f>_xlfn.XLOOKUP(calls[[#This Row],[Customer ID]],customers[Customer ID],customers[Age])</f>
        <v>37</v>
      </c>
      <c r="P344" s="22" t="str">
        <f>_xlfn.XLOOKUP(calls[[#This Row],[Customer ID]],customers[Customer ID],customers[City])</f>
        <v>Columbus</v>
      </c>
    </row>
    <row r="345" spans="2:16" x14ac:dyDescent="0.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s="22" t="str">
        <f>IF(calls[[#This Row],[Rating rounded]]&gt;=4,"Happy")</f>
        <v>Happy</v>
      </c>
      <c r="N345" s="22" t="str">
        <f>_xlfn.XLOOKUP(calls[[#This Row],[Customer ID]],customers[Customer ID],customers[Gedner])</f>
        <v>Female</v>
      </c>
      <c r="O345" s="22">
        <f>_xlfn.XLOOKUP(calls[[#This Row],[Customer ID]],customers[Customer ID],customers[Age])</f>
        <v>30</v>
      </c>
      <c r="P345" s="22" t="str">
        <f>_xlfn.XLOOKUP(calls[[#This Row],[Customer ID]],customers[Customer ID],customers[City])</f>
        <v>Cleveland</v>
      </c>
    </row>
    <row r="346" spans="2:16" x14ac:dyDescent="0.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s="22" t="str">
        <f>IF(calls[[#This Row],[Rating rounded]]&gt;=4,"Happy")</f>
        <v>Happy</v>
      </c>
      <c r="N346" s="22" t="str">
        <f>_xlfn.XLOOKUP(calls[[#This Row],[Customer ID]],customers[Customer ID],customers[Gedner])</f>
        <v>Male</v>
      </c>
      <c r="O346" s="22">
        <f>_xlfn.XLOOKUP(calls[[#This Row],[Customer ID]],customers[Customer ID],customers[Age])</f>
        <v>31</v>
      </c>
      <c r="P346" s="22" t="str">
        <f>_xlfn.XLOOKUP(calls[[#This Row],[Customer ID]],customers[Customer ID],customers[City])</f>
        <v>Cleveland</v>
      </c>
    </row>
    <row r="347" spans="2:16" x14ac:dyDescent="0.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s="22" t="b">
        <f>IF(calls[[#This Row],[Rating rounded]]&gt;=4,"Happy")</f>
        <v>0</v>
      </c>
      <c r="N347" s="22" t="str">
        <f>_xlfn.XLOOKUP(calls[[#This Row],[Customer ID]],customers[Customer ID],customers[Gedner])</f>
        <v>Female</v>
      </c>
      <c r="O347" s="22">
        <f>_xlfn.XLOOKUP(calls[[#This Row],[Customer ID]],customers[Customer ID],customers[Age])</f>
        <v>43</v>
      </c>
      <c r="P347" s="22" t="str">
        <f>_xlfn.XLOOKUP(calls[[#This Row],[Customer ID]],customers[Customer ID],customers[City])</f>
        <v>Cleveland</v>
      </c>
    </row>
    <row r="348" spans="2:16" x14ac:dyDescent="0.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s="22" t="b">
        <f>IF(calls[[#This Row],[Rating rounded]]&gt;=4,"Happy")</f>
        <v>0</v>
      </c>
      <c r="N348" s="22" t="str">
        <f>_xlfn.XLOOKUP(calls[[#This Row],[Customer ID]],customers[Customer ID],customers[Gedner])</f>
        <v>Female</v>
      </c>
      <c r="O348" s="22">
        <f>_xlfn.XLOOKUP(calls[[#This Row],[Customer ID]],customers[Customer ID],customers[Age])</f>
        <v>30</v>
      </c>
      <c r="P348" s="22" t="str">
        <f>_xlfn.XLOOKUP(calls[[#This Row],[Customer ID]],customers[Customer ID],customers[City])</f>
        <v>Cleveland</v>
      </c>
    </row>
    <row r="349" spans="2:16" x14ac:dyDescent="0.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s="22" t="str">
        <f>IF(calls[[#This Row],[Rating rounded]]&gt;=4,"Happy")</f>
        <v>Happy</v>
      </c>
      <c r="N349" s="22" t="str">
        <f>_xlfn.XLOOKUP(calls[[#This Row],[Customer ID]],customers[Customer ID],customers[Gedner])</f>
        <v>Female</v>
      </c>
      <c r="O349" s="22">
        <f>_xlfn.XLOOKUP(calls[[#This Row],[Customer ID]],customers[Customer ID],customers[Age])</f>
        <v>28</v>
      </c>
      <c r="P349" s="22" t="str">
        <f>_xlfn.XLOOKUP(calls[[#This Row],[Customer ID]],customers[Customer ID],customers[City])</f>
        <v>Cincinnati</v>
      </c>
    </row>
    <row r="350" spans="2:16" x14ac:dyDescent="0.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s="22" t="str">
        <f>IF(calls[[#This Row],[Rating rounded]]&gt;=4,"Happy")</f>
        <v>Happy</v>
      </c>
      <c r="N350" s="22" t="str">
        <f>_xlfn.XLOOKUP(calls[[#This Row],[Customer ID]],customers[Customer ID],customers[Gedner])</f>
        <v>Female</v>
      </c>
      <c r="O350" s="22">
        <f>_xlfn.XLOOKUP(calls[[#This Row],[Customer ID]],customers[Customer ID],customers[Age])</f>
        <v>22</v>
      </c>
      <c r="P350" s="22" t="str">
        <f>_xlfn.XLOOKUP(calls[[#This Row],[Customer ID]],customers[Customer ID],customers[City])</f>
        <v>Cleveland</v>
      </c>
    </row>
    <row r="351" spans="2:16" x14ac:dyDescent="0.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s="22" t="str">
        <f>IF(calls[[#This Row],[Rating rounded]]&gt;=4,"Happy")</f>
        <v>Happy</v>
      </c>
      <c r="N351" s="22" t="str">
        <f>_xlfn.XLOOKUP(calls[[#This Row],[Customer ID]],customers[Customer ID],customers[Gedner])</f>
        <v>Female</v>
      </c>
      <c r="O351" s="22">
        <f>_xlfn.XLOOKUP(calls[[#This Row],[Customer ID]],customers[Customer ID],customers[Age])</f>
        <v>28</v>
      </c>
      <c r="P351" s="22" t="str">
        <f>_xlfn.XLOOKUP(calls[[#This Row],[Customer ID]],customers[Customer ID],customers[City])</f>
        <v>Cincinnati</v>
      </c>
    </row>
    <row r="352" spans="2:16" x14ac:dyDescent="0.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s="22" t="str">
        <f>IF(calls[[#This Row],[Rating rounded]]&gt;=4,"Happy")</f>
        <v>Happy</v>
      </c>
      <c r="N352" s="22" t="str">
        <f>_xlfn.XLOOKUP(calls[[#This Row],[Customer ID]],customers[Customer ID],customers[Gedner])</f>
        <v>Female</v>
      </c>
      <c r="O352" s="22">
        <f>_xlfn.XLOOKUP(calls[[#This Row],[Customer ID]],customers[Customer ID],customers[Age])</f>
        <v>28</v>
      </c>
      <c r="P352" s="22" t="str">
        <f>_xlfn.XLOOKUP(calls[[#This Row],[Customer ID]],customers[Customer ID],customers[City])</f>
        <v>Cincinnati</v>
      </c>
    </row>
    <row r="353" spans="2:16" x14ac:dyDescent="0.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s="22" t="str">
        <f>IF(calls[[#This Row],[Rating rounded]]&gt;=4,"Happy")</f>
        <v>Happy</v>
      </c>
      <c r="N353" s="22" t="str">
        <f>_xlfn.XLOOKUP(calls[[#This Row],[Customer ID]],customers[Customer ID],customers[Gedner])</f>
        <v>Female</v>
      </c>
      <c r="O353" s="22">
        <f>_xlfn.XLOOKUP(calls[[#This Row],[Customer ID]],customers[Customer ID],customers[Age])</f>
        <v>38</v>
      </c>
      <c r="P353" s="22" t="str">
        <f>_xlfn.XLOOKUP(calls[[#This Row],[Customer ID]],customers[Customer ID],customers[City])</f>
        <v>Columbus</v>
      </c>
    </row>
    <row r="354" spans="2:16" x14ac:dyDescent="0.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s="22" t="str">
        <f>IF(calls[[#This Row],[Rating rounded]]&gt;=4,"Happy")</f>
        <v>Happy</v>
      </c>
      <c r="N354" s="22" t="str">
        <f>_xlfn.XLOOKUP(calls[[#This Row],[Customer ID]],customers[Customer ID],customers[Gedner])</f>
        <v>Female</v>
      </c>
      <c r="O354" s="22">
        <f>_xlfn.XLOOKUP(calls[[#This Row],[Customer ID]],customers[Customer ID],customers[Age])</f>
        <v>43</v>
      </c>
      <c r="P354" s="22" t="str">
        <f>_xlfn.XLOOKUP(calls[[#This Row],[Customer ID]],customers[Customer ID],customers[City])</f>
        <v>Cleveland</v>
      </c>
    </row>
    <row r="355" spans="2:16" x14ac:dyDescent="0.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s="22" t="str">
        <f>IF(calls[[#This Row],[Rating rounded]]&gt;=4,"Happy")</f>
        <v>Happy</v>
      </c>
      <c r="N355" s="22" t="str">
        <f>_xlfn.XLOOKUP(calls[[#This Row],[Customer ID]],customers[Customer ID],customers[Gedner])</f>
        <v>Female</v>
      </c>
      <c r="O355" s="22">
        <f>_xlfn.XLOOKUP(calls[[#This Row],[Customer ID]],customers[Customer ID],customers[Age])</f>
        <v>30</v>
      </c>
      <c r="P355" s="22" t="str">
        <f>_xlfn.XLOOKUP(calls[[#This Row],[Customer ID]],customers[Customer ID],customers[City])</f>
        <v>Cincinnati</v>
      </c>
    </row>
    <row r="356" spans="2:16" x14ac:dyDescent="0.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s="22" t="str">
        <f>IF(calls[[#This Row],[Rating rounded]]&gt;=4,"Happy")</f>
        <v>Happy</v>
      </c>
      <c r="N356" s="22" t="str">
        <f>_xlfn.XLOOKUP(calls[[#This Row],[Customer ID]],customers[Customer ID],customers[Gedner])</f>
        <v>Female</v>
      </c>
      <c r="O356" s="22">
        <f>_xlfn.XLOOKUP(calls[[#This Row],[Customer ID]],customers[Customer ID],customers[Age])</f>
        <v>37</v>
      </c>
      <c r="P356" s="22" t="str">
        <f>_xlfn.XLOOKUP(calls[[#This Row],[Customer ID]],customers[Customer ID],customers[City])</f>
        <v>Cleveland</v>
      </c>
    </row>
    <row r="357" spans="2:16" x14ac:dyDescent="0.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s="22" t="b">
        <f>IF(calls[[#This Row],[Rating rounded]]&gt;=4,"Happy")</f>
        <v>0</v>
      </c>
      <c r="N357" s="22" t="str">
        <f>_xlfn.XLOOKUP(calls[[#This Row],[Customer ID]],customers[Customer ID],customers[Gedner])</f>
        <v>Male</v>
      </c>
      <c r="O357" s="22">
        <f>_xlfn.XLOOKUP(calls[[#This Row],[Customer ID]],customers[Customer ID],customers[Age])</f>
        <v>23</v>
      </c>
      <c r="P357" s="22" t="str">
        <f>_xlfn.XLOOKUP(calls[[#This Row],[Customer ID]],customers[Customer ID],customers[City])</f>
        <v>Columbus</v>
      </c>
    </row>
    <row r="358" spans="2:16" x14ac:dyDescent="0.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s="22" t="str">
        <f>IF(calls[[#This Row],[Rating rounded]]&gt;=4,"Happy")</f>
        <v>Happy</v>
      </c>
      <c r="N358" s="22" t="str">
        <f>_xlfn.XLOOKUP(calls[[#This Row],[Customer ID]],customers[Customer ID],customers[Gedner])</f>
        <v>Male</v>
      </c>
      <c r="O358" s="22">
        <f>_xlfn.XLOOKUP(calls[[#This Row],[Customer ID]],customers[Customer ID],customers[Age])</f>
        <v>37</v>
      </c>
      <c r="P358" s="22" t="str">
        <f>_xlfn.XLOOKUP(calls[[#This Row],[Customer ID]],customers[Customer ID],customers[City])</f>
        <v>Columbus</v>
      </c>
    </row>
    <row r="359" spans="2:16" x14ac:dyDescent="0.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s="22" t="str">
        <f>IF(calls[[#This Row],[Rating rounded]]&gt;=4,"Happy")</f>
        <v>Happy</v>
      </c>
      <c r="N359" s="22" t="str">
        <f>_xlfn.XLOOKUP(calls[[#This Row],[Customer ID]],customers[Customer ID],customers[Gedner])</f>
        <v>Female</v>
      </c>
      <c r="O359" s="22">
        <f>_xlfn.XLOOKUP(calls[[#This Row],[Customer ID]],customers[Customer ID],customers[Age])</f>
        <v>42</v>
      </c>
      <c r="P359" s="22" t="str">
        <f>_xlfn.XLOOKUP(calls[[#This Row],[Customer ID]],customers[Customer ID],customers[City])</f>
        <v>Cleveland</v>
      </c>
    </row>
    <row r="360" spans="2:16" x14ac:dyDescent="0.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s="22" t="str">
        <f>IF(calls[[#This Row],[Rating rounded]]&gt;=4,"Happy")</f>
        <v>Happy</v>
      </c>
      <c r="N360" s="22" t="str">
        <f>_xlfn.XLOOKUP(calls[[#This Row],[Customer ID]],customers[Customer ID],customers[Gedner])</f>
        <v>Female</v>
      </c>
      <c r="O360" s="22">
        <f>_xlfn.XLOOKUP(calls[[#This Row],[Customer ID]],customers[Customer ID],customers[Age])</f>
        <v>37</v>
      </c>
      <c r="P360" s="22" t="str">
        <f>_xlfn.XLOOKUP(calls[[#This Row],[Customer ID]],customers[Customer ID],customers[City])</f>
        <v>Cleveland</v>
      </c>
    </row>
    <row r="361" spans="2:16" x14ac:dyDescent="0.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s="22" t="str">
        <f>IF(calls[[#This Row],[Rating rounded]]&gt;=4,"Happy")</f>
        <v>Happy</v>
      </c>
      <c r="N361" s="22" t="str">
        <f>_xlfn.XLOOKUP(calls[[#This Row],[Customer ID]],customers[Customer ID],customers[Gedner])</f>
        <v>Female</v>
      </c>
      <c r="O361" s="22">
        <f>_xlfn.XLOOKUP(calls[[#This Row],[Customer ID]],customers[Customer ID],customers[Age])</f>
        <v>42</v>
      </c>
      <c r="P361" s="22" t="str">
        <f>_xlfn.XLOOKUP(calls[[#This Row],[Customer ID]],customers[Customer ID],customers[City])</f>
        <v>Cleveland</v>
      </c>
    </row>
    <row r="362" spans="2:16" x14ac:dyDescent="0.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s="22" t="b">
        <f>IF(calls[[#This Row],[Rating rounded]]&gt;=4,"Happy")</f>
        <v>0</v>
      </c>
      <c r="N362" s="22" t="str">
        <f>_xlfn.XLOOKUP(calls[[#This Row],[Customer ID]],customers[Customer ID],customers[Gedner])</f>
        <v>Male</v>
      </c>
      <c r="O362" s="22">
        <f>_xlfn.XLOOKUP(calls[[#This Row],[Customer ID]],customers[Customer ID],customers[Age])</f>
        <v>41</v>
      </c>
      <c r="P362" s="22" t="str">
        <f>_xlfn.XLOOKUP(calls[[#This Row],[Customer ID]],customers[Customer ID],customers[City])</f>
        <v>Columbus</v>
      </c>
    </row>
    <row r="363" spans="2:16" x14ac:dyDescent="0.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s="22" t="str">
        <f>IF(calls[[#This Row],[Rating rounded]]&gt;=4,"Happy")</f>
        <v>Happy</v>
      </c>
      <c r="N363" s="22" t="str">
        <f>_xlfn.XLOOKUP(calls[[#This Row],[Customer ID]],customers[Customer ID],customers[Gedner])</f>
        <v>Female</v>
      </c>
      <c r="O363" s="22">
        <f>_xlfn.XLOOKUP(calls[[#This Row],[Customer ID]],customers[Customer ID],customers[Age])</f>
        <v>22</v>
      </c>
      <c r="P363" s="22" t="str">
        <f>_xlfn.XLOOKUP(calls[[#This Row],[Customer ID]],customers[Customer ID],customers[City])</f>
        <v>Cleveland</v>
      </c>
    </row>
    <row r="364" spans="2:16" x14ac:dyDescent="0.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s="22" t="str">
        <f>IF(calls[[#This Row],[Rating rounded]]&gt;=4,"Happy")</f>
        <v>Happy</v>
      </c>
      <c r="N364" s="22" t="str">
        <f>_xlfn.XLOOKUP(calls[[#This Row],[Customer ID]],customers[Customer ID],customers[Gedner])</f>
        <v>Female</v>
      </c>
      <c r="O364" s="22">
        <f>_xlfn.XLOOKUP(calls[[#This Row],[Customer ID]],customers[Customer ID],customers[Age])</f>
        <v>25</v>
      </c>
      <c r="P364" s="22" t="str">
        <f>_xlfn.XLOOKUP(calls[[#This Row],[Customer ID]],customers[Customer ID],customers[City])</f>
        <v>Columbus</v>
      </c>
    </row>
    <row r="365" spans="2:16" x14ac:dyDescent="0.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s="22" t="str">
        <f>IF(calls[[#This Row],[Rating rounded]]&gt;=4,"Happy")</f>
        <v>Happy</v>
      </c>
      <c r="N365" s="22" t="str">
        <f>_xlfn.XLOOKUP(calls[[#This Row],[Customer ID]],customers[Customer ID],customers[Gedner])</f>
        <v>Male</v>
      </c>
      <c r="O365" s="22">
        <f>_xlfn.XLOOKUP(calls[[#This Row],[Customer ID]],customers[Customer ID],customers[Age])</f>
        <v>23</v>
      </c>
      <c r="P365" s="22" t="str">
        <f>_xlfn.XLOOKUP(calls[[#This Row],[Customer ID]],customers[Customer ID],customers[City])</f>
        <v>Columbus</v>
      </c>
    </row>
    <row r="366" spans="2:16" x14ac:dyDescent="0.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s="22" t="str">
        <f>IF(calls[[#This Row],[Rating rounded]]&gt;=4,"Happy")</f>
        <v>Happy</v>
      </c>
      <c r="N366" s="22" t="str">
        <f>_xlfn.XLOOKUP(calls[[#This Row],[Customer ID]],customers[Customer ID],customers[Gedner])</f>
        <v>Male</v>
      </c>
      <c r="O366" s="22">
        <f>_xlfn.XLOOKUP(calls[[#This Row],[Customer ID]],customers[Customer ID],customers[Age])</f>
        <v>41</v>
      </c>
      <c r="P366" s="22" t="str">
        <f>_xlfn.XLOOKUP(calls[[#This Row],[Customer ID]],customers[Customer ID],customers[City])</f>
        <v>Columbus</v>
      </c>
    </row>
    <row r="367" spans="2:16" x14ac:dyDescent="0.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s="22" t="b">
        <f>IF(calls[[#This Row],[Rating rounded]]&gt;=4,"Happy")</f>
        <v>0</v>
      </c>
      <c r="N367" s="22" t="str">
        <f>_xlfn.XLOOKUP(calls[[#This Row],[Customer ID]],customers[Customer ID],customers[Gedner])</f>
        <v>Male</v>
      </c>
      <c r="O367" s="22">
        <f>_xlfn.XLOOKUP(calls[[#This Row],[Customer ID]],customers[Customer ID],customers[Age])</f>
        <v>23</v>
      </c>
      <c r="P367" s="22" t="str">
        <f>_xlfn.XLOOKUP(calls[[#This Row],[Customer ID]],customers[Customer ID],customers[City])</f>
        <v>Columbus</v>
      </c>
    </row>
    <row r="368" spans="2:16" x14ac:dyDescent="0.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s="22" t="b">
        <f>IF(calls[[#This Row],[Rating rounded]]&gt;=4,"Happy")</f>
        <v>0</v>
      </c>
      <c r="N368" s="22" t="str">
        <f>_xlfn.XLOOKUP(calls[[#This Row],[Customer ID]],customers[Customer ID],customers[Gedner])</f>
        <v>Female</v>
      </c>
      <c r="O368" s="22">
        <f>_xlfn.XLOOKUP(calls[[#This Row],[Customer ID]],customers[Customer ID],customers[Age])</f>
        <v>43</v>
      </c>
      <c r="P368" s="22" t="str">
        <f>_xlfn.XLOOKUP(calls[[#This Row],[Customer ID]],customers[Customer ID],customers[City])</f>
        <v>Cleveland</v>
      </c>
    </row>
    <row r="369" spans="2:16" x14ac:dyDescent="0.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s="22" t="b">
        <f>IF(calls[[#This Row],[Rating rounded]]&gt;=4,"Happy")</f>
        <v>0</v>
      </c>
      <c r="N369" s="22" t="str">
        <f>_xlfn.XLOOKUP(calls[[#This Row],[Customer ID]],customers[Customer ID],customers[Gedner])</f>
        <v>Male</v>
      </c>
      <c r="O369" s="22">
        <f>_xlfn.XLOOKUP(calls[[#This Row],[Customer ID]],customers[Customer ID],customers[Age])</f>
        <v>41</v>
      </c>
      <c r="P369" s="22" t="str">
        <f>_xlfn.XLOOKUP(calls[[#This Row],[Customer ID]],customers[Customer ID],customers[City])</f>
        <v>Columbus</v>
      </c>
    </row>
    <row r="370" spans="2:16" x14ac:dyDescent="0.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s="22" t="b">
        <f>IF(calls[[#This Row],[Rating rounded]]&gt;=4,"Happy")</f>
        <v>0</v>
      </c>
      <c r="N370" s="22" t="str">
        <f>_xlfn.XLOOKUP(calls[[#This Row],[Customer ID]],customers[Customer ID],customers[Gedner])</f>
        <v>Male</v>
      </c>
      <c r="O370" s="22">
        <f>_xlfn.XLOOKUP(calls[[#This Row],[Customer ID]],customers[Customer ID],customers[Age])</f>
        <v>31</v>
      </c>
      <c r="P370" s="22" t="str">
        <f>_xlfn.XLOOKUP(calls[[#This Row],[Customer ID]],customers[Customer ID],customers[City])</f>
        <v>Cleveland</v>
      </c>
    </row>
    <row r="371" spans="2:16" x14ac:dyDescent="0.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s="22" t="str">
        <f>IF(calls[[#This Row],[Rating rounded]]&gt;=4,"Happy")</f>
        <v>Happy</v>
      </c>
      <c r="N371" s="22" t="str">
        <f>_xlfn.XLOOKUP(calls[[#This Row],[Customer ID]],customers[Customer ID],customers[Gedner])</f>
        <v>Male</v>
      </c>
      <c r="O371" s="22">
        <f>_xlfn.XLOOKUP(calls[[#This Row],[Customer ID]],customers[Customer ID],customers[Age])</f>
        <v>36</v>
      </c>
      <c r="P371" s="22" t="str">
        <f>_xlfn.XLOOKUP(calls[[#This Row],[Customer ID]],customers[Customer ID],customers[City])</f>
        <v>Cincinnati</v>
      </c>
    </row>
    <row r="372" spans="2:16" x14ac:dyDescent="0.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s="22" t="str">
        <f>IF(calls[[#This Row],[Rating rounded]]&gt;=4,"Happy")</f>
        <v>Happy</v>
      </c>
      <c r="N372" s="22" t="str">
        <f>_xlfn.XLOOKUP(calls[[#This Row],[Customer ID]],customers[Customer ID],customers[Gedner])</f>
        <v>Female</v>
      </c>
      <c r="O372" s="22">
        <f>_xlfn.XLOOKUP(calls[[#This Row],[Customer ID]],customers[Customer ID],customers[Age])</f>
        <v>28</v>
      </c>
      <c r="P372" s="22" t="str">
        <f>_xlfn.XLOOKUP(calls[[#This Row],[Customer ID]],customers[Customer ID],customers[City])</f>
        <v>Cincinnati</v>
      </c>
    </row>
    <row r="373" spans="2:16" x14ac:dyDescent="0.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s="22" t="str">
        <f>IF(calls[[#This Row],[Rating rounded]]&gt;=4,"Happy")</f>
        <v>Happy</v>
      </c>
      <c r="N373" s="22" t="str">
        <f>_xlfn.XLOOKUP(calls[[#This Row],[Customer ID]],customers[Customer ID],customers[Gedner])</f>
        <v>Male</v>
      </c>
      <c r="O373" s="22">
        <f>_xlfn.XLOOKUP(calls[[#This Row],[Customer ID]],customers[Customer ID],customers[Age])</f>
        <v>26</v>
      </c>
      <c r="P373" s="22" t="str">
        <f>_xlfn.XLOOKUP(calls[[#This Row],[Customer ID]],customers[Customer ID],customers[City])</f>
        <v>Cincinnati</v>
      </c>
    </row>
    <row r="374" spans="2:16" x14ac:dyDescent="0.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s="22" t="b">
        <f>IF(calls[[#This Row],[Rating rounded]]&gt;=4,"Happy")</f>
        <v>0</v>
      </c>
      <c r="N374" s="22" t="str">
        <f>_xlfn.XLOOKUP(calls[[#This Row],[Customer ID]],customers[Customer ID],customers[Gedner])</f>
        <v>Female</v>
      </c>
      <c r="O374" s="22">
        <f>_xlfn.XLOOKUP(calls[[#This Row],[Customer ID]],customers[Customer ID],customers[Age])</f>
        <v>37</v>
      </c>
      <c r="P374" s="22" t="str">
        <f>_xlfn.XLOOKUP(calls[[#This Row],[Customer ID]],customers[Customer ID],customers[City])</f>
        <v>Cleveland</v>
      </c>
    </row>
    <row r="375" spans="2:16" x14ac:dyDescent="0.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s="22" t="b">
        <f>IF(calls[[#This Row],[Rating rounded]]&gt;=4,"Happy")</f>
        <v>0</v>
      </c>
      <c r="N375" s="22" t="str">
        <f>_xlfn.XLOOKUP(calls[[#This Row],[Customer ID]],customers[Customer ID],customers[Gedner])</f>
        <v>Female</v>
      </c>
      <c r="O375" s="22">
        <f>_xlfn.XLOOKUP(calls[[#This Row],[Customer ID]],customers[Customer ID],customers[Age])</f>
        <v>30</v>
      </c>
      <c r="P375" s="22" t="str">
        <f>_xlfn.XLOOKUP(calls[[#This Row],[Customer ID]],customers[Customer ID],customers[City])</f>
        <v>Cleveland</v>
      </c>
    </row>
    <row r="376" spans="2:16" x14ac:dyDescent="0.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s="22" t="str">
        <f>IF(calls[[#This Row],[Rating rounded]]&gt;=4,"Happy")</f>
        <v>Happy</v>
      </c>
      <c r="N376" s="22" t="str">
        <f>_xlfn.XLOOKUP(calls[[#This Row],[Customer ID]],customers[Customer ID],customers[Gedner])</f>
        <v>Female</v>
      </c>
      <c r="O376" s="22">
        <f>_xlfn.XLOOKUP(calls[[#This Row],[Customer ID]],customers[Customer ID],customers[Age])</f>
        <v>42</v>
      </c>
      <c r="P376" s="22" t="str">
        <f>_xlfn.XLOOKUP(calls[[#This Row],[Customer ID]],customers[Customer ID],customers[City])</f>
        <v>Cleveland</v>
      </c>
    </row>
    <row r="377" spans="2:16" x14ac:dyDescent="0.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s="22" t="str">
        <f>IF(calls[[#This Row],[Rating rounded]]&gt;=4,"Happy")</f>
        <v>Happy</v>
      </c>
      <c r="N377" s="22" t="str">
        <f>_xlfn.XLOOKUP(calls[[#This Row],[Customer ID]],customers[Customer ID],customers[Gedner])</f>
        <v>Male</v>
      </c>
      <c r="O377" s="22">
        <f>_xlfn.XLOOKUP(calls[[#This Row],[Customer ID]],customers[Customer ID],customers[Age])</f>
        <v>37</v>
      </c>
      <c r="P377" s="22" t="str">
        <f>_xlfn.XLOOKUP(calls[[#This Row],[Customer ID]],customers[Customer ID],customers[City])</f>
        <v>Columbus</v>
      </c>
    </row>
    <row r="378" spans="2:16" x14ac:dyDescent="0.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s="22" t="str">
        <f>IF(calls[[#This Row],[Rating rounded]]&gt;=4,"Happy")</f>
        <v>Happy</v>
      </c>
      <c r="N378" s="22" t="str">
        <f>_xlfn.XLOOKUP(calls[[#This Row],[Customer ID]],customers[Customer ID],customers[Gedner])</f>
        <v>Female</v>
      </c>
      <c r="O378" s="22">
        <f>_xlfn.XLOOKUP(calls[[#This Row],[Customer ID]],customers[Customer ID],customers[Age])</f>
        <v>42</v>
      </c>
      <c r="P378" s="22" t="str">
        <f>_xlfn.XLOOKUP(calls[[#This Row],[Customer ID]],customers[Customer ID],customers[City])</f>
        <v>Cleveland</v>
      </c>
    </row>
    <row r="379" spans="2:16" x14ac:dyDescent="0.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s="22" t="str">
        <f>IF(calls[[#This Row],[Rating rounded]]&gt;=4,"Happy")</f>
        <v>Happy</v>
      </c>
      <c r="N379" s="22" t="str">
        <f>_xlfn.XLOOKUP(calls[[#This Row],[Customer ID]],customers[Customer ID],customers[Gedner])</f>
        <v>Female</v>
      </c>
      <c r="O379" s="22">
        <f>_xlfn.XLOOKUP(calls[[#This Row],[Customer ID]],customers[Customer ID],customers[Age])</f>
        <v>43</v>
      </c>
      <c r="P379" s="22" t="str">
        <f>_xlfn.XLOOKUP(calls[[#This Row],[Customer ID]],customers[Customer ID],customers[City])</f>
        <v>Cleveland</v>
      </c>
    </row>
    <row r="380" spans="2:16" x14ac:dyDescent="0.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s="22" t="str">
        <f>IF(calls[[#This Row],[Rating rounded]]&gt;=4,"Happy")</f>
        <v>Happy</v>
      </c>
      <c r="N380" s="22" t="str">
        <f>_xlfn.XLOOKUP(calls[[#This Row],[Customer ID]],customers[Customer ID],customers[Gedner])</f>
        <v>Male</v>
      </c>
      <c r="O380" s="22">
        <f>_xlfn.XLOOKUP(calls[[#This Row],[Customer ID]],customers[Customer ID],customers[Age])</f>
        <v>37</v>
      </c>
      <c r="P380" s="22" t="str">
        <f>_xlfn.XLOOKUP(calls[[#This Row],[Customer ID]],customers[Customer ID],customers[City])</f>
        <v>Columbus</v>
      </c>
    </row>
    <row r="381" spans="2:16" x14ac:dyDescent="0.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s="22" t="str">
        <f>IF(calls[[#This Row],[Rating rounded]]&gt;=4,"Happy")</f>
        <v>Happy</v>
      </c>
      <c r="N381" s="22" t="str">
        <f>_xlfn.XLOOKUP(calls[[#This Row],[Customer ID]],customers[Customer ID],customers[Gedner])</f>
        <v>Female</v>
      </c>
      <c r="O381" s="22">
        <f>_xlfn.XLOOKUP(calls[[#This Row],[Customer ID]],customers[Customer ID],customers[Age])</f>
        <v>37</v>
      </c>
      <c r="P381" s="22" t="str">
        <f>_xlfn.XLOOKUP(calls[[#This Row],[Customer ID]],customers[Customer ID],customers[City])</f>
        <v>Cleveland</v>
      </c>
    </row>
    <row r="382" spans="2:16" x14ac:dyDescent="0.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s="22" t="str">
        <f>IF(calls[[#This Row],[Rating rounded]]&gt;=4,"Happy")</f>
        <v>Happy</v>
      </c>
      <c r="N382" s="22" t="str">
        <f>_xlfn.XLOOKUP(calls[[#This Row],[Customer ID]],customers[Customer ID],customers[Gedner])</f>
        <v>Female</v>
      </c>
      <c r="O382" s="22">
        <f>_xlfn.XLOOKUP(calls[[#This Row],[Customer ID]],customers[Customer ID],customers[Age])</f>
        <v>25</v>
      </c>
      <c r="P382" s="22" t="str">
        <f>_xlfn.XLOOKUP(calls[[#This Row],[Customer ID]],customers[Customer ID],customers[City])</f>
        <v>Columbus</v>
      </c>
    </row>
    <row r="383" spans="2:16" x14ac:dyDescent="0.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s="22" t="str">
        <f>IF(calls[[#This Row],[Rating rounded]]&gt;=4,"Happy")</f>
        <v>Happy</v>
      </c>
      <c r="N383" s="22" t="str">
        <f>_xlfn.XLOOKUP(calls[[#This Row],[Customer ID]],customers[Customer ID],customers[Gedner])</f>
        <v>Male</v>
      </c>
      <c r="O383" s="22">
        <f>_xlfn.XLOOKUP(calls[[#This Row],[Customer ID]],customers[Customer ID],customers[Age])</f>
        <v>41</v>
      </c>
      <c r="P383" s="22" t="str">
        <f>_xlfn.XLOOKUP(calls[[#This Row],[Customer ID]],customers[Customer ID],customers[City])</f>
        <v>Columbus</v>
      </c>
    </row>
    <row r="384" spans="2:16" x14ac:dyDescent="0.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s="22" t="str">
        <f>IF(calls[[#This Row],[Rating rounded]]&gt;=4,"Happy")</f>
        <v>Happy</v>
      </c>
      <c r="N384" s="22" t="str">
        <f>_xlfn.XLOOKUP(calls[[#This Row],[Customer ID]],customers[Customer ID],customers[Gedner])</f>
        <v>Male</v>
      </c>
      <c r="O384" s="22">
        <f>_xlfn.XLOOKUP(calls[[#This Row],[Customer ID]],customers[Customer ID],customers[Age])</f>
        <v>36</v>
      </c>
      <c r="P384" s="22" t="str">
        <f>_xlfn.XLOOKUP(calls[[#This Row],[Customer ID]],customers[Customer ID],customers[City])</f>
        <v>Cincinnati</v>
      </c>
    </row>
    <row r="385" spans="2:16" x14ac:dyDescent="0.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s="22" t="str">
        <f>IF(calls[[#This Row],[Rating rounded]]&gt;=4,"Happy")</f>
        <v>Happy</v>
      </c>
      <c r="N385" s="22" t="str">
        <f>_xlfn.XLOOKUP(calls[[#This Row],[Customer ID]],customers[Customer ID],customers[Gedner])</f>
        <v>Male</v>
      </c>
      <c r="O385" s="22">
        <f>_xlfn.XLOOKUP(calls[[#This Row],[Customer ID]],customers[Customer ID],customers[Age])</f>
        <v>26</v>
      </c>
      <c r="P385" s="22" t="str">
        <f>_xlfn.XLOOKUP(calls[[#This Row],[Customer ID]],customers[Customer ID],customers[City])</f>
        <v>Cincinnati</v>
      </c>
    </row>
    <row r="386" spans="2:16" x14ac:dyDescent="0.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s="22" t="str">
        <f>IF(calls[[#This Row],[Rating rounded]]&gt;=4,"Happy")</f>
        <v>Happy</v>
      </c>
      <c r="N386" s="22" t="str">
        <f>_xlfn.XLOOKUP(calls[[#This Row],[Customer ID]],customers[Customer ID],customers[Gedner])</f>
        <v>Female</v>
      </c>
      <c r="O386" s="22">
        <f>_xlfn.XLOOKUP(calls[[#This Row],[Customer ID]],customers[Customer ID],customers[Age])</f>
        <v>30</v>
      </c>
      <c r="P386" s="22" t="str">
        <f>_xlfn.XLOOKUP(calls[[#This Row],[Customer ID]],customers[Customer ID],customers[City])</f>
        <v>Cincinnati</v>
      </c>
    </row>
    <row r="387" spans="2:16" x14ac:dyDescent="0.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s="22" t="str">
        <f>IF(calls[[#This Row],[Rating rounded]]&gt;=4,"Happy")</f>
        <v>Happy</v>
      </c>
      <c r="N387" s="22" t="str">
        <f>_xlfn.XLOOKUP(calls[[#This Row],[Customer ID]],customers[Customer ID],customers[Gedner])</f>
        <v>Female</v>
      </c>
      <c r="O387" s="22">
        <f>_xlfn.XLOOKUP(calls[[#This Row],[Customer ID]],customers[Customer ID],customers[Age])</f>
        <v>38</v>
      </c>
      <c r="P387" s="22" t="str">
        <f>_xlfn.XLOOKUP(calls[[#This Row],[Customer ID]],customers[Customer ID],customers[City])</f>
        <v>Columbus</v>
      </c>
    </row>
    <row r="388" spans="2:16" x14ac:dyDescent="0.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s="22" t="b">
        <f>IF(calls[[#This Row],[Rating rounded]]&gt;=4,"Happy")</f>
        <v>0</v>
      </c>
      <c r="N388" s="22" t="str">
        <f>_xlfn.XLOOKUP(calls[[#This Row],[Customer ID]],customers[Customer ID],customers[Gedner])</f>
        <v>Male</v>
      </c>
      <c r="O388" s="22">
        <f>_xlfn.XLOOKUP(calls[[#This Row],[Customer ID]],customers[Customer ID],customers[Age])</f>
        <v>23</v>
      </c>
      <c r="P388" s="22" t="str">
        <f>_xlfn.XLOOKUP(calls[[#This Row],[Customer ID]],customers[Customer ID],customers[City])</f>
        <v>Columbus</v>
      </c>
    </row>
    <row r="389" spans="2:16" x14ac:dyDescent="0.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s="22" t="str">
        <f>IF(calls[[#This Row],[Rating rounded]]&gt;=4,"Happy")</f>
        <v>Happy</v>
      </c>
      <c r="N389" s="22" t="str">
        <f>_xlfn.XLOOKUP(calls[[#This Row],[Customer ID]],customers[Customer ID],customers[Gedner])</f>
        <v>Female</v>
      </c>
      <c r="O389" s="22">
        <f>_xlfn.XLOOKUP(calls[[#This Row],[Customer ID]],customers[Customer ID],customers[Age])</f>
        <v>42</v>
      </c>
      <c r="P389" s="22" t="str">
        <f>_xlfn.XLOOKUP(calls[[#This Row],[Customer ID]],customers[Customer ID],customers[City])</f>
        <v>Cleveland</v>
      </c>
    </row>
    <row r="390" spans="2:16" x14ac:dyDescent="0.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s="22" t="str">
        <f>IF(calls[[#This Row],[Rating rounded]]&gt;=4,"Happy")</f>
        <v>Happy</v>
      </c>
      <c r="N390" s="22" t="str">
        <f>_xlfn.XLOOKUP(calls[[#This Row],[Customer ID]],customers[Customer ID],customers[Gedner])</f>
        <v>Female</v>
      </c>
      <c r="O390" s="22">
        <f>_xlfn.XLOOKUP(calls[[#This Row],[Customer ID]],customers[Customer ID],customers[Age])</f>
        <v>30</v>
      </c>
      <c r="P390" s="22" t="str">
        <f>_xlfn.XLOOKUP(calls[[#This Row],[Customer ID]],customers[Customer ID],customers[City])</f>
        <v>Cleveland</v>
      </c>
    </row>
    <row r="391" spans="2:16" x14ac:dyDescent="0.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s="22" t="str">
        <f>IF(calls[[#This Row],[Rating rounded]]&gt;=4,"Happy")</f>
        <v>Happy</v>
      </c>
      <c r="N391" s="22" t="str">
        <f>_xlfn.XLOOKUP(calls[[#This Row],[Customer ID]],customers[Customer ID],customers[Gedner])</f>
        <v>Female</v>
      </c>
      <c r="O391" s="22">
        <f>_xlfn.XLOOKUP(calls[[#This Row],[Customer ID]],customers[Customer ID],customers[Age])</f>
        <v>43</v>
      </c>
      <c r="P391" s="22" t="str">
        <f>_xlfn.XLOOKUP(calls[[#This Row],[Customer ID]],customers[Customer ID],customers[City])</f>
        <v>Cleveland</v>
      </c>
    </row>
    <row r="392" spans="2:16" x14ac:dyDescent="0.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s="22" t="b">
        <f>IF(calls[[#This Row],[Rating rounded]]&gt;=4,"Happy")</f>
        <v>0</v>
      </c>
      <c r="N392" s="22" t="str">
        <f>_xlfn.XLOOKUP(calls[[#This Row],[Customer ID]],customers[Customer ID],customers[Gedner])</f>
        <v>Male</v>
      </c>
      <c r="O392" s="22">
        <f>_xlfn.XLOOKUP(calls[[#This Row],[Customer ID]],customers[Customer ID],customers[Age])</f>
        <v>36</v>
      </c>
      <c r="P392" s="22" t="str">
        <f>_xlfn.XLOOKUP(calls[[#This Row],[Customer ID]],customers[Customer ID],customers[City])</f>
        <v>Cincinnati</v>
      </c>
    </row>
    <row r="393" spans="2:16" x14ac:dyDescent="0.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s="22" t="str">
        <f>IF(calls[[#This Row],[Rating rounded]]&gt;=4,"Happy")</f>
        <v>Happy</v>
      </c>
      <c r="N393" s="22" t="str">
        <f>_xlfn.XLOOKUP(calls[[#This Row],[Customer ID]],customers[Customer ID],customers[Gedner])</f>
        <v>Female</v>
      </c>
      <c r="O393" s="22">
        <f>_xlfn.XLOOKUP(calls[[#This Row],[Customer ID]],customers[Customer ID],customers[Age])</f>
        <v>42</v>
      </c>
      <c r="P393" s="22" t="str">
        <f>_xlfn.XLOOKUP(calls[[#This Row],[Customer ID]],customers[Customer ID],customers[City])</f>
        <v>Cleveland</v>
      </c>
    </row>
    <row r="394" spans="2:16" x14ac:dyDescent="0.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s="22" t="b">
        <f>IF(calls[[#This Row],[Rating rounded]]&gt;=4,"Happy")</f>
        <v>0</v>
      </c>
      <c r="N394" s="22" t="str">
        <f>_xlfn.XLOOKUP(calls[[#This Row],[Customer ID]],customers[Customer ID],customers[Gedner])</f>
        <v>Female</v>
      </c>
      <c r="O394" s="22">
        <f>_xlfn.XLOOKUP(calls[[#This Row],[Customer ID]],customers[Customer ID],customers[Age])</f>
        <v>42</v>
      </c>
      <c r="P394" s="22" t="str">
        <f>_xlfn.XLOOKUP(calls[[#This Row],[Customer ID]],customers[Customer ID],customers[City])</f>
        <v>Cleveland</v>
      </c>
    </row>
    <row r="395" spans="2:16" x14ac:dyDescent="0.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s="22" t="str">
        <f>IF(calls[[#This Row],[Rating rounded]]&gt;=4,"Happy")</f>
        <v>Happy</v>
      </c>
      <c r="N395" s="22" t="str">
        <f>_xlfn.XLOOKUP(calls[[#This Row],[Customer ID]],customers[Customer ID],customers[Gedner])</f>
        <v>Male</v>
      </c>
      <c r="O395" s="22">
        <f>_xlfn.XLOOKUP(calls[[#This Row],[Customer ID]],customers[Customer ID],customers[Age])</f>
        <v>23</v>
      </c>
      <c r="P395" s="22" t="str">
        <f>_xlfn.XLOOKUP(calls[[#This Row],[Customer ID]],customers[Customer ID],customers[City])</f>
        <v>Columbus</v>
      </c>
    </row>
    <row r="396" spans="2:16" x14ac:dyDescent="0.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s="22" t="str">
        <f>IF(calls[[#This Row],[Rating rounded]]&gt;=4,"Happy")</f>
        <v>Happy</v>
      </c>
      <c r="N396" s="22" t="str">
        <f>_xlfn.XLOOKUP(calls[[#This Row],[Customer ID]],customers[Customer ID],customers[Gedner])</f>
        <v>Female</v>
      </c>
      <c r="O396" s="22">
        <f>_xlfn.XLOOKUP(calls[[#This Row],[Customer ID]],customers[Customer ID],customers[Age])</f>
        <v>43</v>
      </c>
      <c r="P396" s="22" t="str">
        <f>_xlfn.XLOOKUP(calls[[#This Row],[Customer ID]],customers[Customer ID],customers[City])</f>
        <v>Cleveland</v>
      </c>
    </row>
    <row r="397" spans="2:16" x14ac:dyDescent="0.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s="22" t="str">
        <f>IF(calls[[#This Row],[Rating rounded]]&gt;=4,"Happy")</f>
        <v>Happy</v>
      </c>
      <c r="N397" s="22" t="str">
        <f>_xlfn.XLOOKUP(calls[[#This Row],[Customer ID]],customers[Customer ID],customers[Gedner])</f>
        <v>Male</v>
      </c>
      <c r="O397" s="22">
        <f>_xlfn.XLOOKUP(calls[[#This Row],[Customer ID]],customers[Customer ID],customers[Age])</f>
        <v>36</v>
      </c>
      <c r="P397" s="22" t="str">
        <f>_xlfn.XLOOKUP(calls[[#This Row],[Customer ID]],customers[Customer ID],customers[City])</f>
        <v>Cincinnati</v>
      </c>
    </row>
    <row r="398" spans="2:16" x14ac:dyDescent="0.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s="22" t="str">
        <f>IF(calls[[#This Row],[Rating rounded]]&gt;=4,"Happy")</f>
        <v>Happy</v>
      </c>
      <c r="N398" s="22" t="str">
        <f>_xlfn.XLOOKUP(calls[[#This Row],[Customer ID]],customers[Customer ID],customers[Gedner])</f>
        <v>Male</v>
      </c>
      <c r="O398" s="22">
        <f>_xlfn.XLOOKUP(calls[[#This Row],[Customer ID]],customers[Customer ID],customers[Age])</f>
        <v>31</v>
      </c>
      <c r="P398" s="22" t="str">
        <f>_xlfn.XLOOKUP(calls[[#This Row],[Customer ID]],customers[Customer ID],customers[City])</f>
        <v>Cleveland</v>
      </c>
    </row>
    <row r="399" spans="2:16" x14ac:dyDescent="0.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s="22" t="str">
        <f>IF(calls[[#This Row],[Rating rounded]]&gt;=4,"Happy")</f>
        <v>Happy</v>
      </c>
      <c r="N399" s="22" t="str">
        <f>_xlfn.XLOOKUP(calls[[#This Row],[Customer ID]],customers[Customer ID],customers[Gedner])</f>
        <v>Male</v>
      </c>
      <c r="O399" s="22">
        <f>_xlfn.XLOOKUP(calls[[#This Row],[Customer ID]],customers[Customer ID],customers[Age])</f>
        <v>36</v>
      </c>
      <c r="P399" s="22" t="str">
        <f>_xlfn.XLOOKUP(calls[[#This Row],[Customer ID]],customers[Customer ID],customers[City])</f>
        <v>Cincinnati</v>
      </c>
    </row>
    <row r="400" spans="2:16" x14ac:dyDescent="0.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s="22" t="str">
        <f>IF(calls[[#This Row],[Rating rounded]]&gt;=4,"Happy")</f>
        <v>Happy</v>
      </c>
      <c r="N400" s="22" t="str">
        <f>_xlfn.XLOOKUP(calls[[#This Row],[Customer ID]],customers[Customer ID],customers[Gedner])</f>
        <v>Female</v>
      </c>
      <c r="O400" s="22">
        <f>_xlfn.XLOOKUP(calls[[#This Row],[Customer ID]],customers[Customer ID],customers[Age])</f>
        <v>38</v>
      </c>
      <c r="P400" s="22" t="str">
        <f>_xlfn.XLOOKUP(calls[[#This Row],[Customer ID]],customers[Customer ID],customers[City])</f>
        <v>Columbus</v>
      </c>
    </row>
    <row r="401" spans="2:16" x14ac:dyDescent="0.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s="22" t="str">
        <f>IF(calls[[#This Row],[Rating rounded]]&gt;=4,"Happy")</f>
        <v>Happy</v>
      </c>
      <c r="N401" s="22" t="str">
        <f>_xlfn.XLOOKUP(calls[[#This Row],[Customer ID]],customers[Customer ID],customers[Gedner])</f>
        <v>Female</v>
      </c>
      <c r="O401" s="22">
        <f>_xlfn.XLOOKUP(calls[[#This Row],[Customer ID]],customers[Customer ID],customers[Age])</f>
        <v>42</v>
      </c>
      <c r="P401" s="22" t="str">
        <f>_xlfn.XLOOKUP(calls[[#This Row],[Customer ID]],customers[Customer ID],customers[City])</f>
        <v>Cleveland</v>
      </c>
    </row>
    <row r="402" spans="2:16" x14ac:dyDescent="0.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s="22" t="str">
        <f>IF(calls[[#This Row],[Rating rounded]]&gt;=4,"Happy")</f>
        <v>Happy</v>
      </c>
      <c r="N402" s="22" t="str">
        <f>_xlfn.XLOOKUP(calls[[#This Row],[Customer ID]],customers[Customer ID],customers[Gedner])</f>
        <v>Male</v>
      </c>
      <c r="O402" s="22">
        <f>_xlfn.XLOOKUP(calls[[#This Row],[Customer ID]],customers[Customer ID],customers[Age])</f>
        <v>36</v>
      </c>
      <c r="P402" s="22" t="str">
        <f>_xlfn.XLOOKUP(calls[[#This Row],[Customer ID]],customers[Customer ID],customers[City])</f>
        <v>Cincinnati</v>
      </c>
    </row>
    <row r="403" spans="2:16" x14ac:dyDescent="0.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s="22" t="str">
        <f>IF(calls[[#This Row],[Rating rounded]]&gt;=4,"Happy")</f>
        <v>Happy</v>
      </c>
      <c r="N403" s="22" t="str">
        <f>_xlfn.XLOOKUP(calls[[#This Row],[Customer ID]],customers[Customer ID],customers[Gedner])</f>
        <v>Female</v>
      </c>
      <c r="O403" s="22">
        <f>_xlfn.XLOOKUP(calls[[#This Row],[Customer ID]],customers[Customer ID],customers[Age])</f>
        <v>42</v>
      </c>
      <c r="P403" s="22" t="str">
        <f>_xlfn.XLOOKUP(calls[[#This Row],[Customer ID]],customers[Customer ID],customers[City])</f>
        <v>Cleveland</v>
      </c>
    </row>
    <row r="404" spans="2:16" x14ac:dyDescent="0.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s="22" t="b">
        <f>IF(calls[[#This Row],[Rating rounded]]&gt;=4,"Happy")</f>
        <v>0</v>
      </c>
      <c r="N404" s="22" t="str">
        <f>_xlfn.XLOOKUP(calls[[#This Row],[Customer ID]],customers[Customer ID],customers[Gedner])</f>
        <v>Female</v>
      </c>
      <c r="O404" s="22">
        <f>_xlfn.XLOOKUP(calls[[#This Row],[Customer ID]],customers[Customer ID],customers[Age])</f>
        <v>30</v>
      </c>
      <c r="P404" s="22" t="str">
        <f>_xlfn.XLOOKUP(calls[[#This Row],[Customer ID]],customers[Customer ID],customers[City])</f>
        <v>Cleveland</v>
      </c>
    </row>
    <row r="405" spans="2:16" x14ac:dyDescent="0.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s="22" t="str">
        <f>IF(calls[[#This Row],[Rating rounded]]&gt;=4,"Happy")</f>
        <v>Happy</v>
      </c>
      <c r="N405" s="22" t="str">
        <f>_xlfn.XLOOKUP(calls[[#This Row],[Customer ID]],customers[Customer ID],customers[Gedner])</f>
        <v>Male</v>
      </c>
      <c r="O405" s="22">
        <f>_xlfn.XLOOKUP(calls[[#This Row],[Customer ID]],customers[Customer ID],customers[Age])</f>
        <v>31</v>
      </c>
      <c r="P405" s="22" t="str">
        <f>_xlfn.XLOOKUP(calls[[#This Row],[Customer ID]],customers[Customer ID],customers[City])</f>
        <v>Cleveland</v>
      </c>
    </row>
    <row r="406" spans="2:16" x14ac:dyDescent="0.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s="22" t="b">
        <f>IF(calls[[#This Row],[Rating rounded]]&gt;=4,"Happy")</f>
        <v>0</v>
      </c>
      <c r="N406" s="22" t="str">
        <f>_xlfn.XLOOKUP(calls[[#This Row],[Customer ID]],customers[Customer ID],customers[Gedner])</f>
        <v>Female</v>
      </c>
      <c r="O406" s="22">
        <f>_xlfn.XLOOKUP(calls[[#This Row],[Customer ID]],customers[Customer ID],customers[Age])</f>
        <v>38</v>
      </c>
      <c r="P406" s="22" t="str">
        <f>_xlfn.XLOOKUP(calls[[#This Row],[Customer ID]],customers[Customer ID],customers[City])</f>
        <v>Columbus</v>
      </c>
    </row>
    <row r="407" spans="2:16" x14ac:dyDescent="0.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s="22" t="b">
        <f>IF(calls[[#This Row],[Rating rounded]]&gt;=4,"Happy")</f>
        <v>0</v>
      </c>
      <c r="N407" s="22" t="str">
        <f>_xlfn.XLOOKUP(calls[[#This Row],[Customer ID]],customers[Customer ID],customers[Gedner])</f>
        <v>Female</v>
      </c>
      <c r="O407" s="22">
        <f>_xlfn.XLOOKUP(calls[[#This Row],[Customer ID]],customers[Customer ID],customers[Age])</f>
        <v>25</v>
      </c>
      <c r="P407" s="22" t="str">
        <f>_xlfn.XLOOKUP(calls[[#This Row],[Customer ID]],customers[Customer ID],customers[City])</f>
        <v>Columbus</v>
      </c>
    </row>
    <row r="408" spans="2:16" x14ac:dyDescent="0.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s="22" t="str">
        <f>IF(calls[[#This Row],[Rating rounded]]&gt;=4,"Happy")</f>
        <v>Happy</v>
      </c>
      <c r="N408" s="22" t="str">
        <f>_xlfn.XLOOKUP(calls[[#This Row],[Customer ID]],customers[Customer ID],customers[Gedner])</f>
        <v>Male</v>
      </c>
      <c r="O408" s="22">
        <f>_xlfn.XLOOKUP(calls[[#This Row],[Customer ID]],customers[Customer ID],customers[Age])</f>
        <v>36</v>
      </c>
      <c r="P408" s="22" t="str">
        <f>_xlfn.XLOOKUP(calls[[#This Row],[Customer ID]],customers[Customer ID],customers[City])</f>
        <v>Cincinnati</v>
      </c>
    </row>
    <row r="409" spans="2:16" x14ac:dyDescent="0.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s="22" t="str">
        <f>IF(calls[[#This Row],[Rating rounded]]&gt;=4,"Happy")</f>
        <v>Happy</v>
      </c>
      <c r="N409" s="22" t="str">
        <f>_xlfn.XLOOKUP(calls[[#This Row],[Customer ID]],customers[Customer ID],customers[Gedner])</f>
        <v>Female</v>
      </c>
      <c r="O409" s="22">
        <f>_xlfn.XLOOKUP(calls[[#This Row],[Customer ID]],customers[Customer ID],customers[Age])</f>
        <v>22</v>
      </c>
      <c r="P409" s="22" t="str">
        <f>_xlfn.XLOOKUP(calls[[#This Row],[Customer ID]],customers[Customer ID],customers[City])</f>
        <v>Cleveland</v>
      </c>
    </row>
    <row r="410" spans="2:16" x14ac:dyDescent="0.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s="22" t="str">
        <f>IF(calls[[#This Row],[Rating rounded]]&gt;=4,"Happy")</f>
        <v>Happy</v>
      </c>
      <c r="N410" s="22" t="str">
        <f>_xlfn.XLOOKUP(calls[[#This Row],[Customer ID]],customers[Customer ID],customers[Gedner])</f>
        <v>Male</v>
      </c>
      <c r="O410" s="22">
        <f>_xlfn.XLOOKUP(calls[[#This Row],[Customer ID]],customers[Customer ID],customers[Age])</f>
        <v>36</v>
      </c>
      <c r="P410" s="22" t="str">
        <f>_xlfn.XLOOKUP(calls[[#This Row],[Customer ID]],customers[Customer ID],customers[City])</f>
        <v>Cincinnati</v>
      </c>
    </row>
    <row r="411" spans="2:16" x14ac:dyDescent="0.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s="22" t="str">
        <f>IF(calls[[#This Row],[Rating rounded]]&gt;=4,"Happy")</f>
        <v>Happy</v>
      </c>
      <c r="N411" s="22" t="str">
        <f>_xlfn.XLOOKUP(calls[[#This Row],[Customer ID]],customers[Customer ID],customers[Gedner])</f>
        <v>Female</v>
      </c>
      <c r="O411" s="22">
        <f>_xlfn.XLOOKUP(calls[[#This Row],[Customer ID]],customers[Customer ID],customers[Age])</f>
        <v>38</v>
      </c>
      <c r="P411" s="22" t="str">
        <f>_xlfn.XLOOKUP(calls[[#This Row],[Customer ID]],customers[Customer ID],customers[City])</f>
        <v>Columbus</v>
      </c>
    </row>
    <row r="412" spans="2:16" x14ac:dyDescent="0.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s="22" t="str">
        <f>IF(calls[[#This Row],[Rating rounded]]&gt;=4,"Happy")</f>
        <v>Happy</v>
      </c>
      <c r="N412" s="22" t="str">
        <f>_xlfn.XLOOKUP(calls[[#This Row],[Customer ID]],customers[Customer ID],customers[Gedner])</f>
        <v>Male</v>
      </c>
      <c r="O412" s="22">
        <f>_xlfn.XLOOKUP(calls[[#This Row],[Customer ID]],customers[Customer ID],customers[Age])</f>
        <v>37</v>
      </c>
      <c r="P412" s="22" t="str">
        <f>_xlfn.XLOOKUP(calls[[#This Row],[Customer ID]],customers[Customer ID],customers[City])</f>
        <v>Columbus</v>
      </c>
    </row>
    <row r="413" spans="2:16" x14ac:dyDescent="0.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s="22" t="str">
        <f>IF(calls[[#This Row],[Rating rounded]]&gt;=4,"Happy")</f>
        <v>Happy</v>
      </c>
      <c r="N413" s="22" t="str">
        <f>_xlfn.XLOOKUP(calls[[#This Row],[Customer ID]],customers[Customer ID],customers[Gedner])</f>
        <v>Female</v>
      </c>
      <c r="O413" s="22">
        <f>_xlfn.XLOOKUP(calls[[#This Row],[Customer ID]],customers[Customer ID],customers[Age])</f>
        <v>42</v>
      </c>
      <c r="P413" s="22" t="str">
        <f>_xlfn.XLOOKUP(calls[[#This Row],[Customer ID]],customers[Customer ID],customers[City])</f>
        <v>Cleveland</v>
      </c>
    </row>
    <row r="414" spans="2:16" x14ac:dyDescent="0.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s="22" t="str">
        <f>IF(calls[[#This Row],[Rating rounded]]&gt;=4,"Happy")</f>
        <v>Happy</v>
      </c>
      <c r="N414" s="22" t="str">
        <f>_xlfn.XLOOKUP(calls[[#This Row],[Customer ID]],customers[Customer ID],customers[Gedner])</f>
        <v>Female</v>
      </c>
      <c r="O414" s="22">
        <f>_xlfn.XLOOKUP(calls[[#This Row],[Customer ID]],customers[Customer ID],customers[Age])</f>
        <v>30</v>
      </c>
      <c r="P414" s="22" t="str">
        <f>_xlfn.XLOOKUP(calls[[#This Row],[Customer ID]],customers[Customer ID],customers[City])</f>
        <v>Cleveland</v>
      </c>
    </row>
    <row r="415" spans="2:16" x14ac:dyDescent="0.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s="22" t="str">
        <f>IF(calls[[#This Row],[Rating rounded]]&gt;=4,"Happy")</f>
        <v>Happy</v>
      </c>
      <c r="N415" s="22" t="str">
        <f>_xlfn.XLOOKUP(calls[[#This Row],[Customer ID]],customers[Customer ID],customers[Gedner])</f>
        <v>Male</v>
      </c>
      <c r="O415" s="22">
        <f>_xlfn.XLOOKUP(calls[[#This Row],[Customer ID]],customers[Customer ID],customers[Age])</f>
        <v>37</v>
      </c>
      <c r="P415" s="22" t="str">
        <f>_xlfn.XLOOKUP(calls[[#This Row],[Customer ID]],customers[Customer ID],customers[City])</f>
        <v>Columbus</v>
      </c>
    </row>
    <row r="416" spans="2:16" x14ac:dyDescent="0.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s="22" t="str">
        <f>IF(calls[[#This Row],[Rating rounded]]&gt;=4,"Happy")</f>
        <v>Happy</v>
      </c>
      <c r="N416" s="22" t="str">
        <f>_xlfn.XLOOKUP(calls[[#This Row],[Customer ID]],customers[Customer ID],customers[Gedner])</f>
        <v>Female</v>
      </c>
      <c r="O416" s="22">
        <f>_xlfn.XLOOKUP(calls[[#This Row],[Customer ID]],customers[Customer ID],customers[Age])</f>
        <v>28</v>
      </c>
      <c r="P416" s="22" t="str">
        <f>_xlfn.XLOOKUP(calls[[#This Row],[Customer ID]],customers[Customer ID],customers[City])</f>
        <v>Cincinnati</v>
      </c>
    </row>
    <row r="417" spans="2:16" x14ac:dyDescent="0.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s="22" t="str">
        <f>IF(calls[[#This Row],[Rating rounded]]&gt;=4,"Happy")</f>
        <v>Happy</v>
      </c>
      <c r="N417" s="22" t="str">
        <f>_xlfn.XLOOKUP(calls[[#This Row],[Customer ID]],customers[Customer ID],customers[Gedner])</f>
        <v>Male</v>
      </c>
      <c r="O417" s="22">
        <f>_xlfn.XLOOKUP(calls[[#This Row],[Customer ID]],customers[Customer ID],customers[Age])</f>
        <v>23</v>
      </c>
      <c r="P417" s="22" t="str">
        <f>_xlfn.XLOOKUP(calls[[#This Row],[Customer ID]],customers[Customer ID],customers[City])</f>
        <v>Columbus</v>
      </c>
    </row>
    <row r="418" spans="2:16" x14ac:dyDescent="0.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s="22" t="str">
        <f>IF(calls[[#This Row],[Rating rounded]]&gt;=4,"Happy")</f>
        <v>Happy</v>
      </c>
      <c r="N418" s="22" t="str">
        <f>_xlfn.XLOOKUP(calls[[#This Row],[Customer ID]],customers[Customer ID],customers[Gedner])</f>
        <v>Male</v>
      </c>
      <c r="O418" s="22">
        <f>_xlfn.XLOOKUP(calls[[#This Row],[Customer ID]],customers[Customer ID],customers[Age])</f>
        <v>26</v>
      </c>
      <c r="P418" s="22" t="str">
        <f>_xlfn.XLOOKUP(calls[[#This Row],[Customer ID]],customers[Customer ID],customers[City])</f>
        <v>Cincinnati</v>
      </c>
    </row>
    <row r="419" spans="2:16" x14ac:dyDescent="0.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s="22" t="str">
        <f>IF(calls[[#This Row],[Rating rounded]]&gt;=4,"Happy")</f>
        <v>Happy</v>
      </c>
      <c r="N419" s="22" t="str">
        <f>_xlfn.XLOOKUP(calls[[#This Row],[Customer ID]],customers[Customer ID],customers[Gedner])</f>
        <v>Female</v>
      </c>
      <c r="O419" s="22">
        <f>_xlfn.XLOOKUP(calls[[#This Row],[Customer ID]],customers[Customer ID],customers[Age])</f>
        <v>28</v>
      </c>
      <c r="P419" s="22" t="str">
        <f>_xlfn.XLOOKUP(calls[[#This Row],[Customer ID]],customers[Customer ID],customers[City])</f>
        <v>Cincinnati</v>
      </c>
    </row>
    <row r="420" spans="2:16" x14ac:dyDescent="0.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s="22" t="str">
        <f>IF(calls[[#This Row],[Rating rounded]]&gt;=4,"Happy")</f>
        <v>Happy</v>
      </c>
      <c r="N420" s="22" t="str">
        <f>_xlfn.XLOOKUP(calls[[#This Row],[Customer ID]],customers[Customer ID],customers[Gedner])</f>
        <v>Male</v>
      </c>
      <c r="O420" s="22">
        <f>_xlfn.XLOOKUP(calls[[#This Row],[Customer ID]],customers[Customer ID],customers[Age])</f>
        <v>37</v>
      </c>
      <c r="P420" s="22" t="str">
        <f>_xlfn.XLOOKUP(calls[[#This Row],[Customer ID]],customers[Customer ID],customers[City])</f>
        <v>Columbus</v>
      </c>
    </row>
    <row r="421" spans="2:16" x14ac:dyDescent="0.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s="22" t="str">
        <f>IF(calls[[#This Row],[Rating rounded]]&gt;=4,"Happy")</f>
        <v>Happy</v>
      </c>
      <c r="N421" s="22" t="str">
        <f>_xlfn.XLOOKUP(calls[[#This Row],[Customer ID]],customers[Customer ID],customers[Gedner])</f>
        <v>Female</v>
      </c>
      <c r="O421" s="22">
        <f>_xlfn.XLOOKUP(calls[[#This Row],[Customer ID]],customers[Customer ID],customers[Age])</f>
        <v>30</v>
      </c>
      <c r="P421" s="22" t="str">
        <f>_xlfn.XLOOKUP(calls[[#This Row],[Customer ID]],customers[Customer ID],customers[City])</f>
        <v>Cincinnati</v>
      </c>
    </row>
    <row r="422" spans="2:16" x14ac:dyDescent="0.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s="22" t="str">
        <f>IF(calls[[#This Row],[Rating rounded]]&gt;=4,"Happy")</f>
        <v>Happy</v>
      </c>
      <c r="N422" s="22" t="str">
        <f>_xlfn.XLOOKUP(calls[[#This Row],[Customer ID]],customers[Customer ID],customers[Gedner])</f>
        <v>Male</v>
      </c>
      <c r="O422" s="22">
        <f>_xlfn.XLOOKUP(calls[[#This Row],[Customer ID]],customers[Customer ID],customers[Age])</f>
        <v>37</v>
      </c>
      <c r="P422" s="22" t="str">
        <f>_xlfn.XLOOKUP(calls[[#This Row],[Customer ID]],customers[Customer ID],customers[City])</f>
        <v>Columbus</v>
      </c>
    </row>
    <row r="423" spans="2:16" x14ac:dyDescent="0.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s="22" t="str">
        <f>IF(calls[[#This Row],[Rating rounded]]&gt;=4,"Happy")</f>
        <v>Happy</v>
      </c>
      <c r="N423" s="22" t="str">
        <f>_xlfn.XLOOKUP(calls[[#This Row],[Customer ID]],customers[Customer ID],customers[Gedner])</f>
        <v>Female</v>
      </c>
      <c r="O423" s="22">
        <f>_xlfn.XLOOKUP(calls[[#This Row],[Customer ID]],customers[Customer ID],customers[Age])</f>
        <v>22</v>
      </c>
      <c r="P423" s="22" t="str">
        <f>_xlfn.XLOOKUP(calls[[#This Row],[Customer ID]],customers[Customer ID],customers[City])</f>
        <v>Cleveland</v>
      </c>
    </row>
    <row r="424" spans="2:16" x14ac:dyDescent="0.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s="22" t="str">
        <f>IF(calls[[#This Row],[Rating rounded]]&gt;=4,"Happy")</f>
        <v>Happy</v>
      </c>
      <c r="N424" s="22" t="str">
        <f>_xlfn.XLOOKUP(calls[[#This Row],[Customer ID]],customers[Customer ID],customers[Gedner])</f>
        <v>Female</v>
      </c>
      <c r="O424" s="22">
        <f>_xlfn.XLOOKUP(calls[[#This Row],[Customer ID]],customers[Customer ID],customers[Age])</f>
        <v>28</v>
      </c>
      <c r="P424" s="22" t="str">
        <f>_xlfn.XLOOKUP(calls[[#This Row],[Customer ID]],customers[Customer ID],customers[City])</f>
        <v>Cincinnati</v>
      </c>
    </row>
    <row r="425" spans="2:16" x14ac:dyDescent="0.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s="22" t="str">
        <f>IF(calls[[#This Row],[Rating rounded]]&gt;=4,"Happy")</f>
        <v>Happy</v>
      </c>
      <c r="N425" s="22" t="str">
        <f>_xlfn.XLOOKUP(calls[[#This Row],[Customer ID]],customers[Customer ID],customers[Gedner])</f>
        <v>Male</v>
      </c>
      <c r="O425" s="22">
        <f>_xlfn.XLOOKUP(calls[[#This Row],[Customer ID]],customers[Customer ID],customers[Age])</f>
        <v>31</v>
      </c>
      <c r="P425" s="22" t="str">
        <f>_xlfn.XLOOKUP(calls[[#This Row],[Customer ID]],customers[Customer ID],customers[City])</f>
        <v>Cleveland</v>
      </c>
    </row>
    <row r="426" spans="2:16" x14ac:dyDescent="0.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s="22" t="b">
        <f>IF(calls[[#This Row],[Rating rounded]]&gt;=4,"Happy")</f>
        <v>0</v>
      </c>
      <c r="N426" s="22" t="str">
        <f>_xlfn.XLOOKUP(calls[[#This Row],[Customer ID]],customers[Customer ID],customers[Gedner])</f>
        <v>Male</v>
      </c>
      <c r="O426" s="22">
        <f>_xlfn.XLOOKUP(calls[[#This Row],[Customer ID]],customers[Customer ID],customers[Age])</f>
        <v>31</v>
      </c>
      <c r="P426" s="22" t="str">
        <f>_xlfn.XLOOKUP(calls[[#This Row],[Customer ID]],customers[Customer ID],customers[City])</f>
        <v>Cleveland</v>
      </c>
    </row>
    <row r="427" spans="2:16" x14ac:dyDescent="0.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s="22" t="b">
        <f>IF(calls[[#This Row],[Rating rounded]]&gt;=4,"Happy")</f>
        <v>0</v>
      </c>
      <c r="N427" s="22" t="str">
        <f>_xlfn.XLOOKUP(calls[[#This Row],[Customer ID]],customers[Customer ID],customers[Gedner])</f>
        <v>Male</v>
      </c>
      <c r="O427" s="22">
        <f>_xlfn.XLOOKUP(calls[[#This Row],[Customer ID]],customers[Customer ID],customers[Age])</f>
        <v>37</v>
      </c>
      <c r="P427" s="22" t="str">
        <f>_xlfn.XLOOKUP(calls[[#This Row],[Customer ID]],customers[Customer ID],customers[City])</f>
        <v>Columbus</v>
      </c>
    </row>
    <row r="428" spans="2:16" x14ac:dyDescent="0.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s="22" t="str">
        <f>IF(calls[[#This Row],[Rating rounded]]&gt;=4,"Happy")</f>
        <v>Happy</v>
      </c>
      <c r="N428" s="22" t="str">
        <f>_xlfn.XLOOKUP(calls[[#This Row],[Customer ID]],customers[Customer ID],customers[Gedner])</f>
        <v>Male</v>
      </c>
      <c r="O428" s="22">
        <f>_xlfn.XLOOKUP(calls[[#This Row],[Customer ID]],customers[Customer ID],customers[Age])</f>
        <v>26</v>
      </c>
      <c r="P428" s="22" t="str">
        <f>_xlfn.XLOOKUP(calls[[#This Row],[Customer ID]],customers[Customer ID],customers[City])</f>
        <v>Cincinnati</v>
      </c>
    </row>
    <row r="429" spans="2:16" x14ac:dyDescent="0.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s="22" t="b">
        <f>IF(calls[[#This Row],[Rating rounded]]&gt;=4,"Happy")</f>
        <v>0</v>
      </c>
      <c r="N429" s="22" t="str">
        <f>_xlfn.XLOOKUP(calls[[#This Row],[Customer ID]],customers[Customer ID],customers[Gedner])</f>
        <v>Female</v>
      </c>
      <c r="O429" s="22">
        <f>_xlfn.XLOOKUP(calls[[#This Row],[Customer ID]],customers[Customer ID],customers[Age])</f>
        <v>22</v>
      </c>
      <c r="P429" s="22" t="str">
        <f>_xlfn.XLOOKUP(calls[[#This Row],[Customer ID]],customers[Customer ID],customers[City])</f>
        <v>Cleveland</v>
      </c>
    </row>
    <row r="430" spans="2:16" x14ac:dyDescent="0.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s="22" t="b">
        <f>IF(calls[[#This Row],[Rating rounded]]&gt;=4,"Happy")</f>
        <v>0</v>
      </c>
      <c r="N430" s="22" t="str">
        <f>_xlfn.XLOOKUP(calls[[#This Row],[Customer ID]],customers[Customer ID],customers[Gedner])</f>
        <v>Female</v>
      </c>
      <c r="O430" s="22">
        <f>_xlfn.XLOOKUP(calls[[#This Row],[Customer ID]],customers[Customer ID],customers[Age])</f>
        <v>38</v>
      </c>
      <c r="P430" s="22" t="str">
        <f>_xlfn.XLOOKUP(calls[[#This Row],[Customer ID]],customers[Customer ID],customers[City])</f>
        <v>Columbus</v>
      </c>
    </row>
    <row r="431" spans="2:16" x14ac:dyDescent="0.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s="22" t="b">
        <f>IF(calls[[#This Row],[Rating rounded]]&gt;=4,"Happy")</f>
        <v>0</v>
      </c>
      <c r="N431" s="22" t="str">
        <f>_xlfn.XLOOKUP(calls[[#This Row],[Customer ID]],customers[Customer ID],customers[Gedner])</f>
        <v>Male</v>
      </c>
      <c r="O431" s="22">
        <f>_xlfn.XLOOKUP(calls[[#This Row],[Customer ID]],customers[Customer ID],customers[Age])</f>
        <v>37</v>
      </c>
      <c r="P431" s="22" t="str">
        <f>_xlfn.XLOOKUP(calls[[#This Row],[Customer ID]],customers[Customer ID],customers[City])</f>
        <v>Columbus</v>
      </c>
    </row>
    <row r="432" spans="2:16" x14ac:dyDescent="0.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s="22" t="str">
        <f>IF(calls[[#This Row],[Rating rounded]]&gt;=4,"Happy")</f>
        <v>Happy</v>
      </c>
      <c r="N432" s="22" t="str">
        <f>_xlfn.XLOOKUP(calls[[#This Row],[Customer ID]],customers[Customer ID],customers[Gedner])</f>
        <v>Male</v>
      </c>
      <c r="O432" s="22">
        <f>_xlfn.XLOOKUP(calls[[#This Row],[Customer ID]],customers[Customer ID],customers[Age])</f>
        <v>23</v>
      </c>
      <c r="P432" s="22" t="str">
        <f>_xlfn.XLOOKUP(calls[[#This Row],[Customer ID]],customers[Customer ID],customers[City])</f>
        <v>Columbus</v>
      </c>
    </row>
    <row r="433" spans="2:16" x14ac:dyDescent="0.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s="22" t="b">
        <f>IF(calls[[#This Row],[Rating rounded]]&gt;=4,"Happy")</f>
        <v>0</v>
      </c>
      <c r="N433" s="22" t="str">
        <f>_xlfn.XLOOKUP(calls[[#This Row],[Customer ID]],customers[Customer ID],customers[Gedner])</f>
        <v>Male</v>
      </c>
      <c r="O433" s="22">
        <f>_xlfn.XLOOKUP(calls[[#This Row],[Customer ID]],customers[Customer ID],customers[Age])</f>
        <v>31</v>
      </c>
      <c r="P433" s="22" t="str">
        <f>_xlfn.XLOOKUP(calls[[#This Row],[Customer ID]],customers[Customer ID],customers[City])</f>
        <v>Cleveland</v>
      </c>
    </row>
    <row r="434" spans="2:16" x14ac:dyDescent="0.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s="22" t="b">
        <f>IF(calls[[#This Row],[Rating rounded]]&gt;=4,"Happy")</f>
        <v>0</v>
      </c>
      <c r="N434" s="22" t="str">
        <f>_xlfn.XLOOKUP(calls[[#This Row],[Customer ID]],customers[Customer ID],customers[Gedner])</f>
        <v>Female</v>
      </c>
      <c r="O434" s="22">
        <f>_xlfn.XLOOKUP(calls[[#This Row],[Customer ID]],customers[Customer ID],customers[Age])</f>
        <v>22</v>
      </c>
      <c r="P434" s="22" t="str">
        <f>_xlfn.XLOOKUP(calls[[#This Row],[Customer ID]],customers[Customer ID],customers[City])</f>
        <v>Cleveland</v>
      </c>
    </row>
    <row r="435" spans="2:16" x14ac:dyDescent="0.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s="22" t="b">
        <f>IF(calls[[#This Row],[Rating rounded]]&gt;=4,"Happy")</f>
        <v>0</v>
      </c>
      <c r="N435" s="22" t="str">
        <f>_xlfn.XLOOKUP(calls[[#This Row],[Customer ID]],customers[Customer ID],customers[Gedner])</f>
        <v>Female</v>
      </c>
      <c r="O435" s="22">
        <f>_xlfn.XLOOKUP(calls[[#This Row],[Customer ID]],customers[Customer ID],customers[Age])</f>
        <v>22</v>
      </c>
      <c r="P435" s="22" t="str">
        <f>_xlfn.XLOOKUP(calls[[#This Row],[Customer ID]],customers[Customer ID],customers[City])</f>
        <v>Cleveland</v>
      </c>
    </row>
    <row r="436" spans="2:16" x14ac:dyDescent="0.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s="22" t="str">
        <f>IF(calls[[#This Row],[Rating rounded]]&gt;=4,"Happy")</f>
        <v>Happy</v>
      </c>
      <c r="N436" s="22" t="str">
        <f>_xlfn.XLOOKUP(calls[[#This Row],[Customer ID]],customers[Customer ID],customers[Gedner])</f>
        <v>Female</v>
      </c>
      <c r="O436" s="22">
        <f>_xlfn.XLOOKUP(calls[[#This Row],[Customer ID]],customers[Customer ID],customers[Age])</f>
        <v>25</v>
      </c>
      <c r="P436" s="22" t="str">
        <f>_xlfn.XLOOKUP(calls[[#This Row],[Customer ID]],customers[Customer ID],customers[City])</f>
        <v>Columbus</v>
      </c>
    </row>
    <row r="437" spans="2:16" x14ac:dyDescent="0.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s="22" t="str">
        <f>IF(calls[[#This Row],[Rating rounded]]&gt;=4,"Happy")</f>
        <v>Happy</v>
      </c>
      <c r="N437" s="22" t="str">
        <f>_xlfn.XLOOKUP(calls[[#This Row],[Customer ID]],customers[Customer ID],customers[Gedner])</f>
        <v>Male</v>
      </c>
      <c r="O437" s="22">
        <f>_xlfn.XLOOKUP(calls[[#This Row],[Customer ID]],customers[Customer ID],customers[Age])</f>
        <v>37</v>
      </c>
      <c r="P437" s="22" t="str">
        <f>_xlfn.XLOOKUP(calls[[#This Row],[Customer ID]],customers[Customer ID],customers[City])</f>
        <v>Columbus</v>
      </c>
    </row>
    <row r="438" spans="2:16" x14ac:dyDescent="0.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s="22" t="str">
        <f>IF(calls[[#This Row],[Rating rounded]]&gt;=4,"Happy")</f>
        <v>Happy</v>
      </c>
      <c r="N438" s="22" t="str">
        <f>_xlfn.XLOOKUP(calls[[#This Row],[Customer ID]],customers[Customer ID],customers[Gedner])</f>
        <v>Male</v>
      </c>
      <c r="O438" s="22">
        <f>_xlfn.XLOOKUP(calls[[#This Row],[Customer ID]],customers[Customer ID],customers[Age])</f>
        <v>31</v>
      </c>
      <c r="P438" s="22" t="str">
        <f>_xlfn.XLOOKUP(calls[[#This Row],[Customer ID]],customers[Customer ID],customers[City])</f>
        <v>Cleveland</v>
      </c>
    </row>
    <row r="439" spans="2:16" x14ac:dyDescent="0.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s="22" t="str">
        <f>IF(calls[[#This Row],[Rating rounded]]&gt;=4,"Happy")</f>
        <v>Happy</v>
      </c>
      <c r="N439" s="22" t="str">
        <f>_xlfn.XLOOKUP(calls[[#This Row],[Customer ID]],customers[Customer ID],customers[Gedner])</f>
        <v>Female</v>
      </c>
      <c r="O439" s="22">
        <f>_xlfn.XLOOKUP(calls[[#This Row],[Customer ID]],customers[Customer ID],customers[Age])</f>
        <v>25</v>
      </c>
      <c r="P439" s="22" t="str">
        <f>_xlfn.XLOOKUP(calls[[#This Row],[Customer ID]],customers[Customer ID],customers[City])</f>
        <v>Columbus</v>
      </c>
    </row>
    <row r="440" spans="2:16" x14ac:dyDescent="0.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s="22" t="str">
        <f>IF(calls[[#This Row],[Rating rounded]]&gt;=4,"Happy")</f>
        <v>Happy</v>
      </c>
      <c r="N440" s="22" t="str">
        <f>_xlfn.XLOOKUP(calls[[#This Row],[Customer ID]],customers[Customer ID],customers[Gedner])</f>
        <v>Female</v>
      </c>
      <c r="O440" s="22">
        <f>_xlfn.XLOOKUP(calls[[#This Row],[Customer ID]],customers[Customer ID],customers[Age])</f>
        <v>42</v>
      </c>
      <c r="P440" s="22" t="str">
        <f>_xlfn.XLOOKUP(calls[[#This Row],[Customer ID]],customers[Customer ID],customers[City])</f>
        <v>Cleveland</v>
      </c>
    </row>
    <row r="441" spans="2:16" x14ac:dyDescent="0.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s="22" t="str">
        <f>IF(calls[[#This Row],[Rating rounded]]&gt;=4,"Happy")</f>
        <v>Happy</v>
      </c>
      <c r="N441" s="22" t="str">
        <f>_xlfn.XLOOKUP(calls[[#This Row],[Customer ID]],customers[Customer ID],customers[Gedner])</f>
        <v>Female</v>
      </c>
      <c r="O441" s="22">
        <f>_xlfn.XLOOKUP(calls[[#This Row],[Customer ID]],customers[Customer ID],customers[Age])</f>
        <v>37</v>
      </c>
      <c r="P441" s="22" t="str">
        <f>_xlfn.XLOOKUP(calls[[#This Row],[Customer ID]],customers[Customer ID],customers[City])</f>
        <v>Cleveland</v>
      </c>
    </row>
    <row r="442" spans="2:16" x14ac:dyDescent="0.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s="22" t="b">
        <f>IF(calls[[#This Row],[Rating rounded]]&gt;=4,"Happy")</f>
        <v>0</v>
      </c>
      <c r="N442" s="22" t="str">
        <f>_xlfn.XLOOKUP(calls[[#This Row],[Customer ID]],customers[Customer ID],customers[Gedner])</f>
        <v>Male</v>
      </c>
      <c r="O442" s="22">
        <f>_xlfn.XLOOKUP(calls[[#This Row],[Customer ID]],customers[Customer ID],customers[Age])</f>
        <v>36</v>
      </c>
      <c r="P442" s="22" t="str">
        <f>_xlfn.XLOOKUP(calls[[#This Row],[Customer ID]],customers[Customer ID],customers[City])</f>
        <v>Cincinnati</v>
      </c>
    </row>
    <row r="443" spans="2:16" x14ac:dyDescent="0.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s="22" t="str">
        <f>IF(calls[[#This Row],[Rating rounded]]&gt;=4,"Happy")</f>
        <v>Happy</v>
      </c>
      <c r="N443" s="22" t="str">
        <f>_xlfn.XLOOKUP(calls[[#This Row],[Customer ID]],customers[Customer ID],customers[Gedner])</f>
        <v>Male</v>
      </c>
      <c r="O443" s="22">
        <f>_xlfn.XLOOKUP(calls[[#This Row],[Customer ID]],customers[Customer ID],customers[Age])</f>
        <v>31</v>
      </c>
      <c r="P443" s="22" t="str">
        <f>_xlfn.XLOOKUP(calls[[#This Row],[Customer ID]],customers[Customer ID],customers[City])</f>
        <v>Cleveland</v>
      </c>
    </row>
    <row r="444" spans="2:16" x14ac:dyDescent="0.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s="22" t="str">
        <f>IF(calls[[#This Row],[Rating rounded]]&gt;=4,"Happy")</f>
        <v>Happy</v>
      </c>
      <c r="N444" s="22" t="str">
        <f>_xlfn.XLOOKUP(calls[[#This Row],[Customer ID]],customers[Customer ID],customers[Gedner])</f>
        <v>Female</v>
      </c>
      <c r="O444" s="22">
        <f>_xlfn.XLOOKUP(calls[[#This Row],[Customer ID]],customers[Customer ID],customers[Age])</f>
        <v>43</v>
      </c>
      <c r="P444" s="22" t="str">
        <f>_xlfn.XLOOKUP(calls[[#This Row],[Customer ID]],customers[Customer ID],customers[City])</f>
        <v>Cleveland</v>
      </c>
    </row>
    <row r="445" spans="2:16" x14ac:dyDescent="0.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s="22" t="str">
        <f>IF(calls[[#This Row],[Rating rounded]]&gt;=4,"Happy")</f>
        <v>Happy</v>
      </c>
      <c r="N445" s="22" t="str">
        <f>_xlfn.XLOOKUP(calls[[#This Row],[Customer ID]],customers[Customer ID],customers[Gedner])</f>
        <v>Female</v>
      </c>
      <c r="O445" s="22">
        <f>_xlfn.XLOOKUP(calls[[#This Row],[Customer ID]],customers[Customer ID],customers[Age])</f>
        <v>30</v>
      </c>
      <c r="P445" s="22" t="str">
        <f>_xlfn.XLOOKUP(calls[[#This Row],[Customer ID]],customers[Customer ID],customers[City])</f>
        <v>Cleveland</v>
      </c>
    </row>
    <row r="446" spans="2:16" x14ac:dyDescent="0.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s="22" t="str">
        <f>IF(calls[[#This Row],[Rating rounded]]&gt;=4,"Happy")</f>
        <v>Happy</v>
      </c>
      <c r="N446" s="22" t="str">
        <f>_xlfn.XLOOKUP(calls[[#This Row],[Customer ID]],customers[Customer ID],customers[Gedner])</f>
        <v>Male</v>
      </c>
      <c r="O446" s="22">
        <f>_xlfn.XLOOKUP(calls[[#This Row],[Customer ID]],customers[Customer ID],customers[Age])</f>
        <v>26</v>
      </c>
      <c r="P446" s="22" t="str">
        <f>_xlfn.XLOOKUP(calls[[#This Row],[Customer ID]],customers[Customer ID],customers[City])</f>
        <v>Cincinnati</v>
      </c>
    </row>
    <row r="447" spans="2:16" x14ac:dyDescent="0.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s="22" t="b">
        <f>IF(calls[[#This Row],[Rating rounded]]&gt;=4,"Happy")</f>
        <v>0</v>
      </c>
      <c r="N447" s="22" t="str">
        <f>_xlfn.XLOOKUP(calls[[#This Row],[Customer ID]],customers[Customer ID],customers[Gedner])</f>
        <v>Female</v>
      </c>
      <c r="O447" s="22">
        <f>_xlfn.XLOOKUP(calls[[#This Row],[Customer ID]],customers[Customer ID],customers[Age])</f>
        <v>37</v>
      </c>
      <c r="P447" s="22" t="str">
        <f>_xlfn.XLOOKUP(calls[[#This Row],[Customer ID]],customers[Customer ID],customers[City])</f>
        <v>Cleveland</v>
      </c>
    </row>
    <row r="448" spans="2:16" x14ac:dyDescent="0.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s="22" t="str">
        <f>IF(calls[[#This Row],[Rating rounded]]&gt;=4,"Happy")</f>
        <v>Happy</v>
      </c>
      <c r="N448" s="22" t="str">
        <f>_xlfn.XLOOKUP(calls[[#This Row],[Customer ID]],customers[Customer ID],customers[Gedner])</f>
        <v>Male</v>
      </c>
      <c r="O448" s="22">
        <f>_xlfn.XLOOKUP(calls[[#This Row],[Customer ID]],customers[Customer ID],customers[Age])</f>
        <v>37</v>
      </c>
      <c r="P448" s="22" t="str">
        <f>_xlfn.XLOOKUP(calls[[#This Row],[Customer ID]],customers[Customer ID],customers[City])</f>
        <v>Columbus</v>
      </c>
    </row>
    <row r="449" spans="2:16" x14ac:dyDescent="0.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s="22" t="b">
        <f>IF(calls[[#This Row],[Rating rounded]]&gt;=4,"Happy")</f>
        <v>0</v>
      </c>
      <c r="N449" s="22" t="str">
        <f>_xlfn.XLOOKUP(calls[[#This Row],[Customer ID]],customers[Customer ID],customers[Gedner])</f>
        <v>Male</v>
      </c>
      <c r="O449" s="22">
        <f>_xlfn.XLOOKUP(calls[[#This Row],[Customer ID]],customers[Customer ID],customers[Age])</f>
        <v>26</v>
      </c>
      <c r="P449" s="22" t="str">
        <f>_xlfn.XLOOKUP(calls[[#This Row],[Customer ID]],customers[Customer ID],customers[City])</f>
        <v>Cincinnati</v>
      </c>
    </row>
    <row r="450" spans="2:16" x14ac:dyDescent="0.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s="22" t="str">
        <f>IF(calls[[#This Row],[Rating rounded]]&gt;=4,"Happy")</f>
        <v>Happy</v>
      </c>
      <c r="N450" s="22" t="str">
        <f>_xlfn.XLOOKUP(calls[[#This Row],[Customer ID]],customers[Customer ID],customers[Gedner])</f>
        <v>Female</v>
      </c>
      <c r="O450" s="22">
        <f>_xlfn.XLOOKUP(calls[[#This Row],[Customer ID]],customers[Customer ID],customers[Age])</f>
        <v>25</v>
      </c>
      <c r="P450" s="22" t="str">
        <f>_xlfn.XLOOKUP(calls[[#This Row],[Customer ID]],customers[Customer ID],customers[City])</f>
        <v>Columbus</v>
      </c>
    </row>
    <row r="451" spans="2:16" x14ac:dyDescent="0.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s="22" t="str">
        <f>IF(calls[[#This Row],[Rating rounded]]&gt;=4,"Happy")</f>
        <v>Happy</v>
      </c>
      <c r="N451" s="22" t="str">
        <f>_xlfn.XLOOKUP(calls[[#This Row],[Customer ID]],customers[Customer ID],customers[Gedner])</f>
        <v>Male</v>
      </c>
      <c r="O451" s="22">
        <f>_xlfn.XLOOKUP(calls[[#This Row],[Customer ID]],customers[Customer ID],customers[Age])</f>
        <v>26</v>
      </c>
      <c r="P451" s="22" t="str">
        <f>_xlfn.XLOOKUP(calls[[#This Row],[Customer ID]],customers[Customer ID],customers[City])</f>
        <v>Cincinnati</v>
      </c>
    </row>
    <row r="452" spans="2:16" x14ac:dyDescent="0.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s="22" t="str">
        <f>IF(calls[[#This Row],[Rating rounded]]&gt;=4,"Happy")</f>
        <v>Happy</v>
      </c>
      <c r="N452" s="22" t="str">
        <f>_xlfn.XLOOKUP(calls[[#This Row],[Customer ID]],customers[Customer ID],customers[Gedner])</f>
        <v>Male</v>
      </c>
      <c r="O452" s="22">
        <f>_xlfn.XLOOKUP(calls[[#This Row],[Customer ID]],customers[Customer ID],customers[Age])</f>
        <v>41</v>
      </c>
      <c r="P452" s="22" t="str">
        <f>_xlfn.XLOOKUP(calls[[#This Row],[Customer ID]],customers[Customer ID],customers[City])</f>
        <v>Columbus</v>
      </c>
    </row>
    <row r="453" spans="2:16" x14ac:dyDescent="0.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s="22" t="b">
        <f>IF(calls[[#This Row],[Rating rounded]]&gt;=4,"Happy")</f>
        <v>0</v>
      </c>
      <c r="N453" s="22" t="str">
        <f>_xlfn.XLOOKUP(calls[[#This Row],[Customer ID]],customers[Customer ID],customers[Gedner])</f>
        <v>Female</v>
      </c>
      <c r="O453" s="22">
        <f>_xlfn.XLOOKUP(calls[[#This Row],[Customer ID]],customers[Customer ID],customers[Age])</f>
        <v>42</v>
      </c>
      <c r="P453" s="22" t="str">
        <f>_xlfn.XLOOKUP(calls[[#This Row],[Customer ID]],customers[Customer ID],customers[City])</f>
        <v>Cleveland</v>
      </c>
    </row>
    <row r="454" spans="2:16" x14ac:dyDescent="0.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s="22" t="str">
        <f>IF(calls[[#This Row],[Rating rounded]]&gt;=4,"Happy")</f>
        <v>Happy</v>
      </c>
      <c r="N454" s="22" t="str">
        <f>_xlfn.XLOOKUP(calls[[#This Row],[Customer ID]],customers[Customer ID],customers[Gedner])</f>
        <v>Female</v>
      </c>
      <c r="O454" s="22">
        <f>_xlfn.XLOOKUP(calls[[#This Row],[Customer ID]],customers[Customer ID],customers[Age])</f>
        <v>25</v>
      </c>
      <c r="P454" s="22" t="str">
        <f>_xlfn.XLOOKUP(calls[[#This Row],[Customer ID]],customers[Customer ID],customers[City])</f>
        <v>Columbus</v>
      </c>
    </row>
    <row r="455" spans="2:16" x14ac:dyDescent="0.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s="22" t="str">
        <f>IF(calls[[#This Row],[Rating rounded]]&gt;=4,"Happy")</f>
        <v>Happy</v>
      </c>
      <c r="N455" s="22" t="str">
        <f>_xlfn.XLOOKUP(calls[[#This Row],[Customer ID]],customers[Customer ID],customers[Gedner])</f>
        <v>Male</v>
      </c>
      <c r="O455" s="22">
        <f>_xlfn.XLOOKUP(calls[[#This Row],[Customer ID]],customers[Customer ID],customers[Age])</f>
        <v>31</v>
      </c>
      <c r="P455" s="22" t="str">
        <f>_xlfn.XLOOKUP(calls[[#This Row],[Customer ID]],customers[Customer ID],customers[City])</f>
        <v>Cleveland</v>
      </c>
    </row>
    <row r="456" spans="2:16" x14ac:dyDescent="0.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s="22" t="str">
        <f>IF(calls[[#This Row],[Rating rounded]]&gt;=4,"Happy")</f>
        <v>Happy</v>
      </c>
      <c r="N456" s="22" t="str">
        <f>_xlfn.XLOOKUP(calls[[#This Row],[Customer ID]],customers[Customer ID],customers[Gedner])</f>
        <v>Female</v>
      </c>
      <c r="O456" s="22">
        <f>_xlfn.XLOOKUP(calls[[#This Row],[Customer ID]],customers[Customer ID],customers[Age])</f>
        <v>42</v>
      </c>
      <c r="P456" s="22" t="str">
        <f>_xlfn.XLOOKUP(calls[[#This Row],[Customer ID]],customers[Customer ID],customers[City])</f>
        <v>Cleveland</v>
      </c>
    </row>
    <row r="457" spans="2:16" x14ac:dyDescent="0.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s="22" t="str">
        <f>IF(calls[[#This Row],[Rating rounded]]&gt;=4,"Happy")</f>
        <v>Happy</v>
      </c>
      <c r="N457" s="22" t="str">
        <f>_xlfn.XLOOKUP(calls[[#This Row],[Customer ID]],customers[Customer ID],customers[Gedner])</f>
        <v>Male</v>
      </c>
      <c r="O457" s="22">
        <f>_xlfn.XLOOKUP(calls[[#This Row],[Customer ID]],customers[Customer ID],customers[Age])</f>
        <v>31</v>
      </c>
      <c r="P457" s="22" t="str">
        <f>_xlfn.XLOOKUP(calls[[#This Row],[Customer ID]],customers[Customer ID],customers[City])</f>
        <v>Cleveland</v>
      </c>
    </row>
    <row r="458" spans="2:16" x14ac:dyDescent="0.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s="22" t="str">
        <f>IF(calls[[#This Row],[Rating rounded]]&gt;=4,"Happy")</f>
        <v>Happy</v>
      </c>
      <c r="N458" s="22" t="str">
        <f>_xlfn.XLOOKUP(calls[[#This Row],[Customer ID]],customers[Customer ID],customers[Gedner])</f>
        <v>Female</v>
      </c>
      <c r="O458" s="22">
        <f>_xlfn.XLOOKUP(calls[[#This Row],[Customer ID]],customers[Customer ID],customers[Age])</f>
        <v>43</v>
      </c>
      <c r="P458" s="22" t="str">
        <f>_xlfn.XLOOKUP(calls[[#This Row],[Customer ID]],customers[Customer ID],customers[City])</f>
        <v>Cleveland</v>
      </c>
    </row>
    <row r="459" spans="2:16" x14ac:dyDescent="0.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s="22" t="str">
        <f>IF(calls[[#This Row],[Rating rounded]]&gt;=4,"Happy")</f>
        <v>Happy</v>
      </c>
      <c r="N459" s="22" t="str">
        <f>_xlfn.XLOOKUP(calls[[#This Row],[Customer ID]],customers[Customer ID],customers[Gedner])</f>
        <v>Male</v>
      </c>
      <c r="O459" s="22">
        <f>_xlfn.XLOOKUP(calls[[#This Row],[Customer ID]],customers[Customer ID],customers[Age])</f>
        <v>26</v>
      </c>
      <c r="P459" s="22" t="str">
        <f>_xlfn.XLOOKUP(calls[[#This Row],[Customer ID]],customers[Customer ID],customers[City])</f>
        <v>Cincinnati</v>
      </c>
    </row>
    <row r="460" spans="2:16" x14ac:dyDescent="0.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s="22" t="str">
        <f>IF(calls[[#This Row],[Rating rounded]]&gt;=4,"Happy")</f>
        <v>Happy</v>
      </c>
      <c r="N460" s="22" t="str">
        <f>_xlfn.XLOOKUP(calls[[#This Row],[Customer ID]],customers[Customer ID],customers[Gedner])</f>
        <v>Male</v>
      </c>
      <c r="O460" s="22">
        <f>_xlfn.XLOOKUP(calls[[#This Row],[Customer ID]],customers[Customer ID],customers[Age])</f>
        <v>36</v>
      </c>
      <c r="P460" s="22" t="str">
        <f>_xlfn.XLOOKUP(calls[[#This Row],[Customer ID]],customers[Customer ID],customers[City])</f>
        <v>Cincinnati</v>
      </c>
    </row>
    <row r="461" spans="2:16" x14ac:dyDescent="0.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s="22" t="str">
        <f>IF(calls[[#This Row],[Rating rounded]]&gt;=4,"Happy")</f>
        <v>Happy</v>
      </c>
      <c r="N461" s="22" t="str">
        <f>_xlfn.XLOOKUP(calls[[#This Row],[Customer ID]],customers[Customer ID],customers[Gedner])</f>
        <v>Male</v>
      </c>
      <c r="O461" s="22">
        <f>_xlfn.XLOOKUP(calls[[#This Row],[Customer ID]],customers[Customer ID],customers[Age])</f>
        <v>26</v>
      </c>
      <c r="P461" s="22" t="str">
        <f>_xlfn.XLOOKUP(calls[[#This Row],[Customer ID]],customers[Customer ID],customers[City])</f>
        <v>Cincinnati</v>
      </c>
    </row>
    <row r="462" spans="2:16" x14ac:dyDescent="0.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s="22" t="str">
        <f>IF(calls[[#This Row],[Rating rounded]]&gt;=4,"Happy")</f>
        <v>Happy</v>
      </c>
      <c r="N462" s="22" t="str">
        <f>_xlfn.XLOOKUP(calls[[#This Row],[Customer ID]],customers[Customer ID],customers[Gedner])</f>
        <v>Female</v>
      </c>
      <c r="O462" s="22">
        <f>_xlfn.XLOOKUP(calls[[#This Row],[Customer ID]],customers[Customer ID],customers[Age])</f>
        <v>43</v>
      </c>
      <c r="P462" s="22" t="str">
        <f>_xlfn.XLOOKUP(calls[[#This Row],[Customer ID]],customers[Customer ID],customers[City])</f>
        <v>Cleveland</v>
      </c>
    </row>
    <row r="463" spans="2:16" x14ac:dyDescent="0.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s="22" t="str">
        <f>IF(calls[[#This Row],[Rating rounded]]&gt;=4,"Happy")</f>
        <v>Happy</v>
      </c>
      <c r="N463" s="22" t="str">
        <f>_xlfn.XLOOKUP(calls[[#This Row],[Customer ID]],customers[Customer ID],customers[Gedner])</f>
        <v>Female</v>
      </c>
      <c r="O463" s="22">
        <f>_xlfn.XLOOKUP(calls[[#This Row],[Customer ID]],customers[Customer ID],customers[Age])</f>
        <v>25</v>
      </c>
      <c r="P463" s="22" t="str">
        <f>_xlfn.XLOOKUP(calls[[#This Row],[Customer ID]],customers[Customer ID],customers[City])</f>
        <v>Columbus</v>
      </c>
    </row>
    <row r="464" spans="2:16" x14ac:dyDescent="0.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s="22" t="str">
        <f>IF(calls[[#This Row],[Rating rounded]]&gt;=4,"Happy")</f>
        <v>Happy</v>
      </c>
      <c r="N464" s="22" t="str">
        <f>_xlfn.XLOOKUP(calls[[#This Row],[Customer ID]],customers[Customer ID],customers[Gedner])</f>
        <v>Female</v>
      </c>
      <c r="O464" s="22">
        <f>_xlfn.XLOOKUP(calls[[#This Row],[Customer ID]],customers[Customer ID],customers[Age])</f>
        <v>30</v>
      </c>
      <c r="P464" s="22" t="str">
        <f>_xlfn.XLOOKUP(calls[[#This Row],[Customer ID]],customers[Customer ID],customers[City])</f>
        <v>Cincinnati</v>
      </c>
    </row>
    <row r="465" spans="2:16" x14ac:dyDescent="0.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s="22" t="str">
        <f>IF(calls[[#This Row],[Rating rounded]]&gt;=4,"Happy")</f>
        <v>Happy</v>
      </c>
      <c r="N465" s="22" t="str">
        <f>_xlfn.XLOOKUP(calls[[#This Row],[Customer ID]],customers[Customer ID],customers[Gedner])</f>
        <v>Male</v>
      </c>
      <c r="O465" s="22">
        <f>_xlfn.XLOOKUP(calls[[#This Row],[Customer ID]],customers[Customer ID],customers[Age])</f>
        <v>23</v>
      </c>
      <c r="P465" s="22" t="str">
        <f>_xlfn.XLOOKUP(calls[[#This Row],[Customer ID]],customers[Customer ID],customers[City])</f>
        <v>Columbus</v>
      </c>
    </row>
    <row r="466" spans="2:16" x14ac:dyDescent="0.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s="22" t="str">
        <f>IF(calls[[#This Row],[Rating rounded]]&gt;=4,"Happy")</f>
        <v>Happy</v>
      </c>
      <c r="N466" s="22" t="str">
        <f>_xlfn.XLOOKUP(calls[[#This Row],[Customer ID]],customers[Customer ID],customers[Gedner])</f>
        <v>Female</v>
      </c>
      <c r="O466" s="22">
        <f>_xlfn.XLOOKUP(calls[[#This Row],[Customer ID]],customers[Customer ID],customers[Age])</f>
        <v>42</v>
      </c>
      <c r="P466" s="22" t="str">
        <f>_xlfn.XLOOKUP(calls[[#This Row],[Customer ID]],customers[Customer ID],customers[City])</f>
        <v>Cleveland</v>
      </c>
    </row>
    <row r="467" spans="2:16" x14ac:dyDescent="0.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s="22" t="b">
        <f>IF(calls[[#This Row],[Rating rounded]]&gt;=4,"Happy")</f>
        <v>0</v>
      </c>
      <c r="N467" s="22" t="str">
        <f>_xlfn.XLOOKUP(calls[[#This Row],[Customer ID]],customers[Customer ID],customers[Gedner])</f>
        <v>Female</v>
      </c>
      <c r="O467" s="22">
        <f>_xlfn.XLOOKUP(calls[[#This Row],[Customer ID]],customers[Customer ID],customers[Age])</f>
        <v>30</v>
      </c>
      <c r="P467" s="22" t="str">
        <f>_xlfn.XLOOKUP(calls[[#This Row],[Customer ID]],customers[Customer ID],customers[City])</f>
        <v>Cleveland</v>
      </c>
    </row>
    <row r="468" spans="2:16" x14ac:dyDescent="0.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s="22" t="b">
        <f>IF(calls[[#This Row],[Rating rounded]]&gt;=4,"Happy")</f>
        <v>0</v>
      </c>
      <c r="N468" s="22" t="str">
        <f>_xlfn.XLOOKUP(calls[[#This Row],[Customer ID]],customers[Customer ID],customers[Gedner])</f>
        <v>Male</v>
      </c>
      <c r="O468" s="22">
        <f>_xlfn.XLOOKUP(calls[[#This Row],[Customer ID]],customers[Customer ID],customers[Age])</f>
        <v>37</v>
      </c>
      <c r="P468" s="22" t="str">
        <f>_xlfn.XLOOKUP(calls[[#This Row],[Customer ID]],customers[Customer ID],customers[City])</f>
        <v>Columbus</v>
      </c>
    </row>
    <row r="469" spans="2:16" x14ac:dyDescent="0.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s="22" t="str">
        <f>IF(calls[[#This Row],[Rating rounded]]&gt;=4,"Happy")</f>
        <v>Happy</v>
      </c>
      <c r="N469" s="22" t="str">
        <f>_xlfn.XLOOKUP(calls[[#This Row],[Customer ID]],customers[Customer ID],customers[Gedner])</f>
        <v>Female</v>
      </c>
      <c r="O469" s="22">
        <f>_xlfn.XLOOKUP(calls[[#This Row],[Customer ID]],customers[Customer ID],customers[Age])</f>
        <v>37</v>
      </c>
      <c r="P469" s="22" t="str">
        <f>_xlfn.XLOOKUP(calls[[#This Row],[Customer ID]],customers[Customer ID],customers[City])</f>
        <v>Cleveland</v>
      </c>
    </row>
    <row r="470" spans="2:16" x14ac:dyDescent="0.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s="22" t="str">
        <f>IF(calls[[#This Row],[Rating rounded]]&gt;=4,"Happy")</f>
        <v>Happy</v>
      </c>
      <c r="N470" s="22" t="str">
        <f>_xlfn.XLOOKUP(calls[[#This Row],[Customer ID]],customers[Customer ID],customers[Gedner])</f>
        <v>Female</v>
      </c>
      <c r="O470" s="22">
        <f>_xlfn.XLOOKUP(calls[[#This Row],[Customer ID]],customers[Customer ID],customers[Age])</f>
        <v>30</v>
      </c>
      <c r="P470" s="22" t="str">
        <f>_xlfn.XLOOKUP(calls[[#This Row],[Customer ID]],customers[Customer ID],customers[City])</f>
        <v>Cincinnati</v>
      </c>
    </row>
    <row r="471" spans="2:16" x14ac:dyDescent="0.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s="22" t="b">
        <f>IF(calls[[#This Row],[Rating rounded]]&gt;=4,"Happy")</f>
        <v>0</v>
      </c>
      <c r="N471" s="22" t="str">
        <f>_xlfn.XLOOKUP(calls[[#This Row],[Customer ID]],customers[Customer ID],customers[Gedner])</f>
        <v>Female</v>
      </c>
      <c r="O471" s="22">
        <f>_xlfn.XLOOKUP(calls[[#This Row],[Customer ID]],customers[Customer ID],customers[Age])</f>
        <v>37</v>
      </c>
      <c r="P471" s="22" t="str">
        <f>_xlfn.XLOOKUP(calls[[#This Row],[Customer ID]],customers[Customer ID],customers[City])</f>
        <v>Cleveland</v>
      </c>
    </row>
    <row r="472" spans="2:16" x14ac:dyDescent="0.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s="22" t="b">
        <f>IF(calls[[#This Row],[Rating rounded]]&gt;=4,"Happy")</f>
        <v>0</v>
      </c>
      <c r="N472" s="22" t="str">
        <f>_xlfn.XLOOKUP(calls[[#This Row],[Customer ID]],customers[Customer ID],customers[Gedner])</f>
        <v>Male</v>
      </c>
      <c r="O472" s="22">
        <f>_xlfn.XLOOKUP(calls[[#This Row],[Customer ID]],customers[Customer ID],customers[Age])</f>
        <v>41</v>
      </c>
      <c r="P472" s="22" t="str">
        <f>_xlfn.XLOOKUP(calls[[#This Row],[Customer ID]],customers[Customer ID],customers[City])</f>
        <v>Columbus</v>
      </c>
    </row>
    <row r="473" spans="2:16" x14ac:dyDescent="0.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s="22" t="b">
        <f>IF(calls[[#This Row],[Rating rounded]]&gt;=4,"Happy")</f>
        <v>0</v>
      </c>
      <c r="N473" s="22" t="str">
        <f>_xlfn.XLOOKUP(calls[[#This Row],[Customer ID]],customers[Customer ID],customers[Gedner])</f>
        <v>Male</v>
      </c>
      <c r="O473" s="22">
        <f>_xlfn.XLOOKUP(calls[[#This Row],[Customer ID]],customers[Customer ID],customers[Age])</f>
        <v>37</v>
      </c>
      <c r="P473" s="22" t="str">
        <f>_xlfn.XLOOKUP(calls[[#This Row],[Customer ID]],customers[Customer ID],customers[City])</f>
        <v>Columbus</v>
      </c>
    </row>
    <row r="474" spans="2:16" x14ac:dyDescent="0.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s="22" t="str">
        <f>IF(calls[[#This Row],[Rating rounded]]&gt;=4,"Happy")</f>
        <v>Happy</v>
      </c>
      <c r="N474" s="22" t="str">
        <f>_xlfn.XLOOKUP(calls[[#This Row],[Customer ID]],customers[Customer ID],customers[Gedner])</f>
        <v>Female</v>
      </c>
      <c r="O474" s="22">
        <f>_xlfn.XLOOKUP(calls[[#This Row],[Customer ID]],customers[Customer ID],customers[Age])</f>
        <v>22</v>
      </c>
      <c r="P474" s="22" t="str">
        <f>_xlfn.XLOOKUP(calls[[#This Row],[Customer ID]],customers[Customer ID],customers[City])</f>
        <v>Cleveland</v>
      </c>
    </row>
    <row r="475" spans="2:16" x14ac:dyDescent="0.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s="22" t="str">
        <f>IF(calls[[#This Row],[Rating rounded]]&gt;=4,"Happy")</f>
        <v>Happy</v>
      </c>
      <c r="N475" s="22" t="str">
        <f>_xlfn.XLOOKUP(calls[[#This Row],[Customer ID]],customers[Customer ID],customers[Gedner])</f>
        <v>Male</v>
      </c>
      <c r="O475" s="22">
        <f>_xlfn.XLOOKUP(calls[[#This Row],[Customer ID]],customers[Customer ID],customers[Age])</f>
        <v>36</v>
      </c>
      <c r="P475" s="22" t="str">
        <f>_xlfn.XLOOKUP(calls[[#This Row],[Customer ID]],customers[Customer ID],customers[City])</f>
        <v>Cincinnati</v>
      </c>
    </row>
    <row r="476" spans="2:16" x14ac:dyDescent="0.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s="22" t="b">
        <f>IF(calls[[#This Row],[Rating rounded]]&gt;=4,"Happy")</f>
        <v>0</v>
      </c>
      <c r="N476" s="22" t="str">
        <f>_xlfn.XLOOKUP(calls[[#This Row],[Customer ID]],customers[Customer ID],customers[Gedner])</f>
        <v>Female</v>
      </c>
      <c r="O476" s="22">
        <f>_xlfn.XLOOKUP(calls[[#This Row],[Customer ID]],customers[Customer ID],customers[Age])</f>
        <v>42</v>
      </c>
      <c r="P476" s="22" t="str">
        <f>_xlfn.XLOOKUP(calls[[#This Row],[Customer ID]],customers[Customer ID],customers[City])</f>
        <v>Cleveland</v>
      </c>
    </row>
    <row r="477" spans="2:16" x14ac:dyDescent="0.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s="22" t="str">
        <f>IF(calls[[#This Row],[Rating rounded]]&gt;=4,"Happy")</f>
        <v>Happy</v>
      </c>
      <c r="N477" s="22" t="str">
        <f>_xlfn.XLOOKUP(calls[[#This Row],[Customer ID]],customers[Customer ID],customers[Gedner])</f>
        <v>Male</v>
      </c>
      <c r="O477" s="22">
        <f>_xlfn.XLOOKUP(calls[[#This Row],[Customer ID]],customers[Customer ID],customers[Age])</f>
        <v>23</v>
      </c>
      <c r="P477" s="22" t="str">
        <f>_xlfn.XLOOKUP(calls[[#This Row],[Customer ID]],customers[Customer ID],customers[City])</f>
        <v>Columbus</v>
      </c>
    </row>
    <row r="478" spans="2:16" x14ac:dyDescent="0.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s="22" t="str">
        <f>IF(calls[[#This Row],[Rating rounded]]&gt;=4,"Happy")</f>
        <v>Happy</v>
      </c>
      <c r="N478" s="22" t="str">
        <f>_xlfn.XLOOKUP(calls[[#This Row],[Customer ID]],customers[Customer ID],customers[Gedner])</f>
        <v>Male</v>
      </c>
      <c r="O478" s="22">
        <f>_xlfn.XLOOKUP(calls[[#This Row],[Customer ID]],customers[Customer ID],customers[Age])</f>
        <v>37</v>
      </c>
      <c r="P478" s="22" t="str">
        <f>_xlfn.XLOOKUP(calls[[#This Row],[Customer ID]],customers[Customer ID],customers[City])</f>
        <v>Columbus</v>
      </c>
    </row>
    <row r="479" spans="2:16" x14ac:dyDescent="0.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s="22" t="b">
        <f>IF(calls[[#This Row],[Rating rounded]]&gt;=4,"Happy")</f>
        <v>0</v>
      </c>
      <c r="N479" s="22" t="str">
        <f>_xlfn.XLOOKUP(calls[[#This Row],[Customer ID]],customers[Customer ID],customers[Gedner])</f>
        <v>Female</v>
      </c>
      <c r="O479" s="22">
        <f>_xlfn.XLOOKUP(calls[[#This Row],[Customer ID]],customers[Customer ID],customers[Age])</f>
        <v>42</v>
      </c>
      <c r="P479" s="22" t="str">
        <f>_xlfn.XLOOKUP(calls[[#This Row],[Customer ID]],customers[Customer ID],customers[City])</f>
        <v>Cleveland</v>
      </c>
    </row>
    <row r="480" spans="2:16" x14ac:dyDescent="0.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s="22" t="str">
        <f>IF(calls[[#This Row],[Rating rounded]]&gt;=4,"Happy")</f>
        <v>Happy</v>
      </c>
      <c r="N480" s="22" t="str">
        <f>_xlfn.XLOOKUP(calls[[#This Row],[Customer ID]],customers[Customer ID],customers[Gedner])</f>
        <v>Male</v>
      </c>
      <c r="O480" s="22">
        <f>_xlfn.XLOOKUP(calls[[#This Row],[Customer ID]],customers[Customer ID],customers[Age])</f>
        <v>31</v>
      </c>
      <c r="P480" s="22" t="str">
        <f>_xlfn.XLOOKUP(calls[[#This Row],[Customer ID]],customers[Customer ID],customers[City])</f>
        <v>Cleveland</v>
      </c>
    </row>
    <row r="481" spans="2:16" x14ac:dyDescent="0.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s="22" t="str">
        <f>IF(calls[[#This Row],[Rating rounded]]&gt;=4,"Happy")</f>
        <v>Happy</v>
      </c>
      <c r="N481" s="22" t="str">
        <f>_xlfn.XLOOKUP(calls[[#This Row],[Customer ID]],customers[Customer ID],customers[Gedner])</f>
        <v>Male</v>
      </c>
      <c r="O481" s="22">
        <f>_xlfn.XLOOKUP(calls[[#This Row],[Customer ID]],customers[Customer ID],customers[Age])</f>
        <v>37</v>
      </c>
      <c r="P481" s="22" t="str">
        <f>_xlfn.XLOOKUP(calls[[#This Row],[Customer ID]],customers[Customer ID],customers[City])</f>
        <v>Columbus</v>
      </c>
    </row>
    <row r="482" spans="2:16" x14ac:dyDescent="0.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s="22" t="str">
        <f>IF(calls[[#This Row],[Rating rounded]]&gt;=4,"Happy")</f>
        <v>Happy</v>
      </c>
      <c r="N482" s="22" t="str">
        <f>_xlfn.XLOOKUP(calls[[#This Row],[Customer ID]],customers[Customer ID],customers[Gedner])</f>
        <v>Female</v>
      </c>
      <c r="O482" s="22">
        <f>_xlfn.XLOOKUP(calls[[#This Row],[Customer ID]],customers[Customer ID],customers[Age])</f>
        <v>30</v>
      </c>
      <c r="P482" s="22" t="str">
        <f>_xlfn.XLOOKUP(calls[[#This Row],[Customer ID]],customers[Customer ID],customers[City])</f>
        <v>Cleveland</v>
      </c>
    </row>
    <row r="483" spans="2:16" x14ac:dyDescent="0.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s="22" t="str">
        <f>IF(calls[[#This Row],[Rating rounded]]&gt;=4,"Happy")</f>
        <v>Happy</v>
      </c>
      <c r="N483" s="22" t="str">
        <f>_xlfn.XLOOKUP(calls[[#This Row],[Customer ID]],customers[Customer ID],customers[Gedner])</f>
        <v>Female</v>
      </c>
      <c r="O483" s="22">
        <f>_xlfn.XLOOKUP(calls[[#This Row],[Customer ID]],customers[Customer ID],customers[Age])</f>
        <v>25</v>
      </c>
      <c r="P483" s="22" t="str">
        <f>_xlfn.XLOOKUP(calls[[#This Row],[Customer ID]],customers[Customer ID],customers[City])</f>
        <v>Columbus</v>
      </c>
    </row>
    <row r="484" spans="2:16" x14ac:dyDescent="0.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s="22" t="str">
        <f>IF(calls[[#This Row],[Rating rounded]]&gt;=4,"Happy")</f>
        <v>Happy</v>
      </c>
      <c r="N484" s="22" t="str">
        <f>_xlfn.XLOOKUP(calls[[#This Row],[Customer ID]],customers[Customer ID],customers[Gedner])</f>
        <v>Male</v>
      </c>
      <c r="O484" s="22">
        <f>_xlfn.XLOOKUP(calls[[#This Row],[Customer ID]],customers[Customer ID],customers[Age])</f>
        <v>36</v>
      </c>
      <c r="P484" s="22" t="str">
        <f>_xlfn.XLOOKUP(calls[[#This Row],[Customer ID]],customers[Customer ID],customers[City])</f>
        <v>Cincinnati</v>
      </c>
    </row>
    <row r="485" spans="2:16" x14ac:dyDescent="0.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s="22" t="str">
        <f>IF(calls[[#This Row],[Rating rounded]]&gt;=4,"Happy")</f>
        <v>Happy</v>
      </c>
      <c r="N485" s="22" t="str">
        <f>_xlfn.XLOOKUP(calls[[#This Row],[Customer ID]],customers[Customer ID],customers[Gedner])</f>
        <v>Female</v>
      </c>
      <c r="O485" s="22">
        <f>_xlfn.XLOOKUP(calls[[#This Row],[Customer ID]],customers[Customer ID],customers[Age])</f>
        <v>28</v>
      </c>
      <c r="P485" s="22" t="str">
        <f>_xlfn.XLOOKUP(calls[[#This Row],[Customer ID]],customers[Customer ID],customers[City])</f>
        <v>Cincinnati</v>
      </c>
    </row>
    <row r="486" spans="2:16" x14ac:dyDescent="0.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s="22" t="str">
        <f>IF(calls[[#This Row],[Rating rounded]]&gt;=4,"Happy")</f>
        <v>Happy</v>
      </c>
      <c r="N486" s="22" t="str">
        <f>_xlfn.XLOOKUP(calls[[#This Row],[Customer ID]],customers[Customer ID],customers[Gedner])</f>
        <v>Female</v>
      </c>
      <c r="O486" s="22">
        <f>_xlfn.XLOOKUP(calls[[#This Row],[Customer ID]],customers[Customer ID],customers[Age])</f>
        <v>28</v>
      </c>
      <c r="P486" s="22" t="str">
        <f>_xlfn.XLOOKUP(calls[[#This Row],[Customer ID]],customers[Customer ID],customers[City])</f>
        <v>Cincinnati</v>
      </c>
    </row>
    <row r="487" spans="2:16" x14ac:dyDescent="0.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s="22" t="str">
        <f>IF(calls[[#This Row],[Rating rounded]]&gt;=4,"Happy")</f>
        <v>Happy</v>
      </c>
      <c r="N487" s="22" t="str">
        <f>_xlfn.XLOOKUP(calls[[#This Row],[Customer ID]],customers[Customer ID],customers[Gedner])</f>
        <v>Female</v>
      </c>
      <c r="O487" s="22">
        <f>_xlfn.XLOOKUP(calls[[#This Row],[Customer ID]],customers[Customer ID],customers[Age])</f>
        <v>28</v>
      </c>
      <c r="P487" s="22" t="str">
        <f>_xlfn.XLOOKUP(calls[[#This Row],[Customer ID]],customers[Customer ID],customers[City])</f>
        <v>Cincinnati</v>
      </c>
    </row>
    <row r="488" spans="2:16" x14ac:dyDescent="0.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s="22" t="str">
        <f>IF(calls[[#This Row],[Rating rounded]]&gt;=4,"Happy")</f>
        <v>Happy</v>
      </c>
      <c r="N488" s="22" t="str">
        <f>_xlfn.XLOOKUP(calls[[#This Row],[Customer ID]],customers[Customer ID],customers[Gedner])</f>
        <v>Male</v>
      </c>
      <c r="O488" s="22">
        <f>_xlfn.XLOOKUP(calls[[#This Row],[Customer ID]],customers[Customer ID],customers[Age])</f>
        <v>31</v>
      </c>
      <c r="P488" s="22" t="str">
        <f>_xlfn.XLOOKUP(calls[[#This Row],[Customer ID]],customers[Customer ID],customers[City])</f>
        <v>Cleveland</v>
      </c>
    </row>
    <row r="489" spans="2:16" x14ac:dyDescent="0.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s="22" t="b">
        <f>IF(calls[[#This Row],[Rating rounded]]&gt;=4,"Happy")</f>
        <v>0</v>
      </c>
      <c r="N489" s="22" t="str">
        <f>_xlfn.XLOOKUP(calls[[#This Row],[Customer ID]],customers[Customer ID],customers[Gedner])</f>
        <v>Female</v>
      </c>
      <c r="O489" s="22">
        <f>_xlfn.XLOOKUP(calls[[#This Row],[Customer ID]],customers[Customer ID],customers[Age])</f>
        <v>30</v>
      </c>
      <c r="P489" s="22" t="str">
        <f>_xlfn.XLOOKUP(calls[[#This Row],[Customer ID]],customers[Customer ID],customers[City])</f>
        <v>Cleveland</v>
      </c>
    </row>
    <row r="490" spans="2:16" x14ac:dyDescent="0.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s="22" t="str">
        <f>IF(calls[[#This Row],[Rating rounded]]&gt;=4,"Happy")</f>
        <v>Happy</v>
      </c>
      <c r="N490" s="22" t="str">
        <f>_xlfn.XLOOKUP(calls[[#This Row],[Customer ID]],customers[Customer ID],customers[Gedner])</f>
        <v>Female</v>
      </c>
      <c r="O490" s="22">
        <f>_xlfn.XLOOKUP(calls[[#This Row],[Customer ID]],customers[Customer ID],customers[Age])</f>
        <v>30</v>
      </c>
      <c r="P490" s="22" t="str">
        <f>_xlfn.XLOOKUP(calls[[#This Row],[Customer ID]],customers[Customer ID],customers[City])</f>
        <v>Cincinnati</v>
      </c>
    </row>
    <row r="491" spans="2:16" x14ac:dyDescent="0.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s="22" t="str">
        <f>IF(calls[[#This Row],[Rating rounded]]&gt;=4,"Happy")</f>
        <v>Happy</v>
      </c>
      <c r="N491" s="22" t="str">
        <f>_xlfn.XLOOKUP(calls[[#This Row],[Customer ID]],customers[Customer ID],customers[Gedner])</f>
        <v>Female</v>
      </c>
      <c r="O491" s="22">
        <f>_xlfn.XLOOKUP(calls[[#This Row],[Customer ID]],customers[Customer ID],customers[Age])</f>
        <v>28</v>
      </c>
      <c r="P491" s="22" t="str">
        <f>_xlfn.XLOOKUP(calls[[#This Row],[Customer ID]],customers[Customer ID],customers[City])</f>
        <v>Cincinnati</v>
      </c>
    </row>
    <row r="492" spans="2:16" x14ac:dyDescent="0.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s="22" t="str">
        <f>IF(calls[[#This Row],[Rating rounded]]&gt;=4,"Happy")</f>
        <v>Happy</v>
      </c>
      <c r="N492" s="22" t="str">
        <f>_xlfn.XLOOKUP(calls[[#This Row],[Customer ID]],customers[Customer ID],customers[Gedner])</f>
        <v>Female</v>
      </c>
      <c r="O492" s="22">
        <f>_xlfn.XLOOKUP(calls[[#This Row],[Customer ID]],customers[Customer ID],customers[Age])</f>
        <v>38</v>
      </c>
      <c r="P492" s="22" t="str">
        <f>_xlfn.XLOOKUP(calls[[#This Row],[Customer ID]],customers[Customer ID],customers[City])</f>
        <v>Columbus</v>
      </c>
    </row>
    <row r="493" spans="2:16" x14ac:dyDescent="0.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s="22" t="str">
        <f>IF(calls[[#This Row],[Rating rounded]]&gt;=4,"Happy")</f>
        <v>Happy</v>
      </c>
      <c r="N493" s="22" t="str">
        <f>_xlfn.XLOOKUP(calls[[#This Row],[Customer ID]],customers[Customer ID],customers[Gedner])</f>
        <v>Male</v>
      </c>
      <c r="O493" s="22">
        <f>_xlfn.XLOOKUP(calls[[#This Row],[Customer ID]],customers[Customer ID],customers[Age])</f>
        <v>36</v>
      </c>
      <c r="P493" s="22" t="str">
        <f>_xlfn.XLOOKUP(calls[[#This Row],[Customer ID]],customers[Customer ID],customers[City])</f>
        <v>Cincinnati</v>
      </c>
    </row>
    <row r="494" spans="2:16" x14ac:dyDescent="0.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s="22" t="b">
        <f>IF(calls[[#This Row],[Rating rounded]]&gt;=4,"Happy")</f>
        <v>0</v>
      </c>
      <c r="N494" s="22" t="str">
        <f>_xlfn.XLOOKUP(calls[[#This Row],[Customer ID]],customers[Customer ID],customers[Gedner])</f>
        <v>Female</v>
      </c>
      <c r="O494" s="22">
        <f>_xlfn.XLOOKUP(calls[[#This Row],[Customer ID]],customers[Customer ID],customers[Age])</f>
        <v>42</v>
      </c>
      <c r="P494" s="22" t="str">
        <f>_xlfn.XLOOKUP(calls[[#This Row],[Customer ID]],customers[Customer ID],customers[City])</f>
        <v>Cleveland</v>
      </c>
    </row>
    <row r="495" spans="2:16" x14ac:dyDescent="0.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s="22" t="str">
        <f>IF(calls[[#This Row],[Rating rounded]]&gt;=4,"Happy")</f>
        <v>Happy</v>
      </c>
      <c r="N495" s="22" t="str">
        <f>_xlfn.XLOOKUP(calls[[#This Row],[Customer ID]],customers[Customer ID],customers[Gedner])</f>
        <v>Female</v>
      </c>
      <c r="O495" s="22">
        <f>_xlfn.XLOOKUP(calls[[#This Row],[Customer ID]],customers[Customer ID],customers[Age])</f>
        <v>30</v>
      </c>
      <c r="P495" s="22" t="str">
        <f>_xlfn.XLOOKUP(calls[[#This Row],[Customer ID]],customers[Customer ID],customers[City])</f>
        <v>Cleveland</v>
      </c>
    </row>
    <row r="496" spans="2:16" x14ac:dyDescent="0.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s="22" t="str">
        <f>IF(calls[[#This Row],[Rating rounded]]&gt;=4,"Happy")</f>
        <v>Happy</v>
      </c>
      <c r="N496" s="22" t="str">
        <f>_xlfn.XLOOKUP(calls[[#This Row],[Customer ID]],customers[Customer ID],customers[Gedner])</f>
        <v>Male</v>
      </c>
      <c r="O496" s="22">
        <f>_xlfn.XLOOKUP(calls[[#This Row],[Customer ID]],customers[Customer ID],customers[Age])</f>
        <v>23</v>
      </c>
      <c r="P496" s="22" t="str">
        <f>_xlfn.XLOOKUP(calls[[#This Row],[Customer ID]],customers[Customer ID],customers[City])</f>
        <v>Columbus</v>
      </c>
    </row>
    <row r="497" spans="2:16" x14ac:dyDescent="0.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s="22" t="str">
        <f>IF(calls[[#This Row],[Rating rounded]]&gt;=4,"Happy")</f>
        <v>Happy</v>
      </c>
      <c r="N497" s="22" t="str">
        <f>_xlfn.XLOOKUP(calls[[#This Row],[Customer ID]],customers[Customer ID],customers[Gedner])</f>
        <v>Male</v>
      </c>
      <c r="O497" s="22">
        <f>_xlfn.XLOOKUP(calls[[#This Row],[Customer ID]],customers[Customer ID],customers[Age])</f>
        <v>41</v>
      </c>
      <c r="P497" s="22" t="str">
        <f>_xlfn.XLOOKUP(calls[[#This Row],[Customer ID]],customers[Customer ID],customers[City])</f>
        <v>Columbus</v>
      </c>
    </row>
    <row r="498" spans="2:16" x14ac:dyDescent="0.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s="22" t="str">
        <f>IF(calls[[#This Row],[Rating rounded]]&gt;=4,"Happy")</f>
        <v>Happy</v>
      </c>
      <c r="N498" s="22" t="str">
        <f>_xlfn.XLOOKUP(calls[[#This Row],[Customer ID]],customers[Customer ID],customers[Gedner])</f>
        <v>Female</v>
      </c>
      <c r="O498" s="22">
        <f>_xlfn.XLOOKUP(calls[[#This Row],[Customer ID]],customers[Customer ID],customers[Age])</f>
        <v>37</v>
      </c>
      <c r="P498" s="22" t="str">
        <f>_xlfn.XLOOKUP(calls[[#This Row],[Customer ID]],customers[Customer ID],customers[City])</f>
        <v>Cleveland</v>
      </c>
    </row>
    <row r="499" spans="2:16" x14ac:dyDescent="0.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s="22" t="str">
        <f>IF(calls[[#This Row],[Rating rounded]]&gt;=4,"Happy")</f>
        <v>Happy</v>
      </c>
      <c r="N499" s="22" t="str">
        <f>_xlfn.XLOOKUP(calls[[#This Row],[Customer ID]],customers[Customer ID],customers[Gedner])</f>
        <v>Female</v>
      </c>
      <c r="O499" s="22">
        <f>_xlfn.XLOOKUP(calls[[#This Row],[Customer ID]],customers[Customer ID],customers[Age])</f>
        <v>30</v>
      </c>
      <c r="P499" s="22" t="str">
        <f>_xlfn.XLOOKUP(calls[[#This Row],[Customer ID]],customers[Customer ID],customers[City])</f>
        <v>Cincinnati</v>
      </c>
    </row>
    <row r="500" spans="2:16" x14ac:dyDescent="0.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s="22" t="b">
        <f>IF(calls[[#This Row],[Rating rounded]]&gt;=4,"Happy")</f>
        <v>0</v>
      </c>
      <c r="N500" s="22" t="str">
        <f>_xlfn.XLOOKUP(calls[[#This Row],[Customer ID]],customers[Customer ID],customers[Gedner])</f>
        <v>Female</v>
      </c>
      <c r="O500" s="22">
        <f>_xlfn.XLOOKUP(calls[[#This Row],[Customer ID]],customers[Customer ID],customers[Age])</f>
        <v>42</v>
      </c>
      <c r="P500" s="22" t="str">
        <f>_xlfn.XLOOKUP(calls[[#This Row],[Customer ID]],customers[Customer ID],customers[City])</f>
        <v>Cleveland</v>
      </c>
    </row>
    <row r="501" spans="2:16" x14ac:dyDescent="0.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s="22" t="str">
        <f>IF(calls[[#This Row],[Rating rounded]]&gt;=4,"Happy")</f>
        <v>Happy</v>
      </c>
      <c r="N501" s="22" t="str">
        <f>_xlfn.XLOOKUP(calls[[#This Row],[Customer ID]],customers[Customer ID],customers[Gedner])</f>
        <v>Female</v>
      </c>
      <c r="O501" s="22">
        <f>_xlfn.XLOOKUP(calls[[#This Row],[Customer ID]],customers[Customer ID],customers[Age])</f>
        <v>37</v>
      </c>
      <c r="P501" s="22" t="str">
        <f>_xlfn.XLOOKUP(calls[[#This Row],[Customer ID]],customers[Customer ID],customers[City])</f>
        <v>Cleveland</v>
      </c>
    </row>
    <row r="502" spans="2:16" x14ac:dyDescent="0.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s="22" t="str">
        <f>IF(calls[[#This Row],[Rating rounded]]&gt;=4,"Happy")</f>
        <v>Happy</v>
      </c>
      <c r="N502" s="22" t="str">
        <f>_xlfn.XLOOKUP(calls[[#This Row],[Customer ID]],customers[Customer ID],customers[Gedner])</f>
        <v>Female</v>
      </c>
      <c r="O502" s="22">
        <f>_xlfn.XLOOKUP(calls[[#This Row],[Customer ID]],customers[Customer ID],customers[Age])</f>
        <v>25</v>
      </c>
      <c r="P502" s="22" t="str">
        <f>_xlfn.XLOOKUP(calls[[#This Row],[Customer ID]],customers[Customer ID],customers[City])</f>
        <v>Columbus</v>
      </c>
    </row>
    <row r="503" spans="2:16" x14ac:dyDescent="0.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s="22" t="str">
        <f>IF(calls[[#This Row],[Rating rounded]]&gt;=4,"Happy")</f>
        <v>Happy</v>
      </c>
      <c r="N503" s="22" t="str">
        <f>_xlfn.XLOOKUP(calls[[#This Row],[Customer ID]],customers[Customer ID],customers[Gedner])</f>
        <v>Female</v>
      </c>
      <c r="O503" s="22">
        <f>_xlfn.XLOOKUP(calls[[#This Row],[Customer ID]],customers[Customer ID],customers[Age])</f>
        <v>25</v>
      </c>
      <c r="P503" s="22" t="str">
        <f>_xlfn.XLOOKUP(calls[[#This Row],[Customer ID]],customers[Customer ID],customers[City])</f>
        <v>Columbus</v>
      </c>
    </row>
    <row r="504" spans="2:16" x14ac:dyDescent="0.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s="22" t="str">
        <f>IF(calls[[#This Row],[Rating rounded]]&gt;=4,"Happy")</f>
        <v>Happy</v>
      </c>
      <c r="N504" s="22" t="str">
        <f>_xlfn.XLOOKUP(calls[[#This Row],[Customer ID]],customers[Customer ID],customers[Gedner])</f>
        <v>Male</v>
      </c>
      <c r="O504" s="22">
        <f>_xlfn.XLOOKUP(calls[[#This Row],[Customer ID]],customers[Customer ID],customers[Age])</f>
        <v>41</v>
      </c>
      <c r="P504" s="22" t="str">
        <f>_xlfn.XLOOKUP(calls[[#This Row],[Customer ID]],customers[Customer ID],customers[City])</f>
        <v>Columbus</v>
      </c>
    </row>
    <row r="505" spans="2:16" x14ac:dyDescent="0.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s="22" t="b">
        <f>IF(calls[[#This Row],[Rating rounded]]&gt;=4,"Happy")</f>
        <v>0</v>
      </c>
      <c r="N505" s="22" t="str">
        <f>_xlfn.XLOOKUP(calls[[#This Row],[Customer ID]],customers[Customer ID],customers[Gedner])</f>
        <v>Male</v>
      </c>
      <c r="O505" s="22">
        <f>_xlfn.XLOOKUP(calls[[#This Row],[Customer ID]],customers[Customer ID],customers[Age])</f>
        <v>31</v>
      </c>
      <c r="P505" s="22" t="str">
        <f>_xlfn.XLOOKUP(calls[[#This Row],[Customer ID]],customers[Customer ID],customers[City])</f>
        <v>Cleveland</v>
      </c>
    </row>
    <row r="506" spans="2:16" x14ac:dyDescent="0.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s="22" t="str">
        <f>IF(calls[[#This Row],[Rating rounded]]&gt;=4,"Happy")</f>
        <v>Happy</v>
      </c>
      <c r="N506" s="22" t="str">
        <f>_xlfn.XLOOKUP(calls[[#This Row],[Customer ID]],customers[Customer ID],customers[Gedner])</f>
        <v>Female</v>
      </c>
      <c r="O506" s="22">
        <f>_xlfn.XLOOKUP(calls[[#This Row],[Customer ID]],customers[Customer ID],customers[Age])</f>
        <v>38</v>
      </c>
      <c r="P506" s="22" t="str">
        <f>_xlfn.XLOOKUP(calls[[#This Row],[Customer ID]],customers[Customer ID],customers[City])</f>
        <v>Columbus</v>
      </c>
    </row>
    <row r="507" spans="2:16" x14ac:dyDescent="0.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s="22" t="b">
        <f>IF(calls[[#This Row],[Rating rounded]]&gt;=4,"Happy")</f>
        <v>0</v>
      </c>
      <c r="N507" s="22" t="str">
        <f>_xlfn.XLOOKUP(calls[[#This Row],[Customer ID]],customers[Customer ID],customers[Gedner])</f>
        <v>Male</v>
      </c>
      <c r="O507" s="22">
        <f>_xlfn.XLOOKUP(calls[[#This Row],[Customer ID]],customers[Customer ID],customers[Age])</f>
        <v>41</v>
      </c>
      <c r="P507" s="22" t="str">
        <f>_xlfn.XLOOKUP(calls[[#This Row],[Customer ID]],customers[Customer ID],customers[City])</f>
        <v>Columbus</v>
      </c>
    </row>
    <row r="508" spans="2:16" x14ac:dyDescent="0.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s="22" t="str">
        <f>IF(calls[[#This Row],[Rating rounded]]&gt;=4,"Happy")</f>
        <v>Happy</v>
      </c>
      <c r="N508" s="22" t="str">
        <f>_xlfn.XLOOKUP(calls[[#This Row],[Customer ID]],customers[Customer ID],customers[Gedner])</f>
        <v>Female</v>
      </c>
      <c r="O508" s="22">
        <f>_xlfn.XLOOKUP(calls[[#This Row],[Customer ID]],customers[Customer ID],customers[Age])</f>
        <v>30</v>
      </c>
      <c r="P508" s="22" t="str">
        <f>_xlfn.XLOOKUP(calls[[#This Row],[Customer ID]],customers[Customer ID],customers[City])</f>
        <v>Cleveland</v>
      </c>
    </row>
    <row r="509" spans="2:16" x14ac:dyDescent="0.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s="22" t="b">
        <f>IF(calls[[#This Row],[Rating rounded]]&gt;=4,"Happy")</f>
        <v>0</v>
      </c>
      <c r="N509" s="22" t="str">
        <f>_xlfn.XLOOKUP(calls[[#This Row],[Customer ID]],customers[Customer ID],customers[Gedner])</f>
        <v>Male</v>
      </c>
      <c r="O509" s="22">
        <f>_xlfn.XLOOKUP(calls[[#This Row],[Customer ID]],customers[Customer ID],customers[Age])</f>
        <v>41</v>
      </c>
      <c r="P509" s="22" t="str">
        <f>_xlfn.XLOOKUP(calls[[#This Row],[Customer ID]],customers[Customer ID],customers[City])</f>
        <v>Columbus</v>
      </c>
    </row>
    <row r="510" spans="2:16" x14ac:dyDescent="0.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s="22" t="str">
        <f>IF(calls[[#This Row],[Rating rounded]]&gt;=4,"Happy")</f>
        <v>Happy</v>
      </c>
      <c r="N510" s="22" t="str">
        <f>_xlfn.XLOOKUP(calls[[#This Row],[Customer ID]],customers[Customer ID],customers[Gedner])</f>
        <v>Male</v>
      </c>
      <c r="O510" s="22">
        <f>_xlfn.XLOOKUP(calls[[#This Row],[Customer ID]],customers[Customer ID],customers[Age])</f>
        <v>41</v>
      </c>
      <c r="P510" s="22" t="str">
        <f>_xlfn.XLOOKUP(calls[[#This Row],[Customer ID]],customers[Customer ID],customers[City])</f>
        <v>Columbus</v>
      </c>
    </row>
    <row r="511" spans="2:16" x14ac:dyDescent="0.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s="22" t="str">
        <f>IF(calls[[#This Row],[Rating rounded]]&gt;=4,"Happy")</f>
        <v>Happy</v>
      </c>
      <c r="N511" s="22" t="str">
        <f>_xlfn.XLOOKUP(calls[[#This Row],[Customer ID]],customers[Customer ID],customers[Gedner])</f>
        <v>Male</v>
      </c>
      <c r="O511" s="22">
        <f>_xlfn.XLOOKUP(calls[[#This Row],[Customer ID]],customers[Customer ID],customers[Age])</f>
        <v>26</v>
      </c>
      <c r="P511" s="22" t="str">
        <f>_xlfn.XLOOKUP(calls[[#This Row],[Customer ID]],customers[Customer ID],customers[City])</f>
        <v>Cincinnati</v>
      </c>
    </row>
    <row r="512" spans="2:16" x14ac:dyDescent="0.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s="22" t="b">
        <f>IF(calls[[#This Row],[Rating rounded]]&gt;=4,"Happy")</f>
        <v>0</v>
      </c>
      <c r="N512" s="22" t="str">
        <f>_xlfn.XLOOKUP(calls[[#This Row],[Customer ID]],customers[Customer ID],customers[Gedner])</f>
        <v>Female</v>
      </c>
      <c r="O512" s="22">
        <f>_xlfn.XLOOKUP(calls[[#This Row],[Customer ID]],customers[Customer ID],customers[Age])</f>
        <v>37</v>
      </c>
      <c r="P512" s="22" t="str">
        <f>_xlfn.XLOOKUP(calls[[#This Row],[Customer ID]],customers[Customer ID],customers[City])</f>
        <v>Cleveland</v>
      </c>
    </row>
    <row r="513" spans="2:16" x14ac:dyDescent="0.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s="22" t="str">
        <f>IF(calls[[#This Row],[Rating rounded]]&gt;=4,"Happy")</f>
        <v>Happy</v>
      </c>
      <c r="N513" s="22" t="str">
        <f>_xlfn.XLOOKUP(calls[[#This Row],[Customer ID]],customers[Customer ID],customers[Gedner])</f>
        <v>Female</v>
      </c>
      <c r="O513" s="22">
        <f>_xlfn.XLOOKUP(calls[[#This Row],[Customer ID]],customers[Customer ID],customers[Age])</f>
        <v>30</v>
      </c>
      <c r="P513" s="22" t="str">
        <f>_xlfn.XLOOKUP(calls[[#This Row],[Customer ID]],customers[Customer ID],customers[City])</f>
        <v>Cleveland</v>
      </c>
    </row>
    <row r="514" spans="2:16" x14ac:dyDescent="0.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s="22" t="str">
        <f>IF(calls[[#This Row],[Rating rounded]]&gt;=4,"Happy")</f>
        <v>Happy</v>
      </c>
      <c r="N514" s="22" t="str">
        <f>_xlfn.XLOOKUP(calls[[#This Row],[Customer ID]],customers[Customer ID],customers[Gedner])</f>
        <v>Female</v>
      </c>
      <c r="O514" s="22">
        <f>_xlfn.XLOOKUP(calls[[#This Row],[Customer ID]],customers[Customer ID],customers[Age])</f>
        <v>30</v>
      </c>
      <c r="P514" s="22" t="str">
        <f>_xlfn.XLOOKUP(calls[[#This Row],[Customer ID]],customers[Customer ID],customers[City])</f>
        <v>Cincinnati</v>
      </c>
    </row>
    <row r="515" spans="2:16" x14ac:dyDescent="0.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s="22" t="str">
        <f>IF(calls[[#This Row],[Rating rounded]]&gt;=4,"Happy")</f>
        <v>Happy</v>
      </c>
      <c r="N515" s="22" t="str">
        <f>_xlfn.XLOOKUP(calls[[#This Row],[Customer ID]],customers[Customer ID],customers[Gedner])</f>
        <v>Female</v>
      </c>
      <c r="O515" s="22">
        <f>_xlfn.XLOOKUP(calls[[#This Row],[Customer ID]],customers[Customer ID],customers[Age])</f>
        <v>25</v>
      </c>
      <c r="P515" s="22" t="str">
        <f>_xlfn.XLOOKUP(calls[[#This Row],[Customer ID]],customers[Customer ID],customers[City])</f>
        <v>Columbus</v>
      </c>
    </row>
    <row r="516" spans="2:16" x14ac:dyDescent="0.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s="22" t="str">
        <f>IF(calls[[#This Row],[Rating rounded]]&gt;=4,"Happy")</f>
        <v>Happy</v>
      </c>
      <c r="N516" s="22" t="str">
        <f>_xlfn.XLOOKUP(calls[[#This Row],[Customer ID]],customers[Customer ID],customers[Gedner])</f>
        <v>Female</v>
      </c>
      <c r="O516" s="22">
        <f>_xlfn.XLOOKUP(calls[[#This Row],[Customer ID]],customers[Customer ID],customers[Age])</f>
        <v>25</v>
      </c>
      <c r="P516" s="22" t="str">
        <f>_xlfn.XLOOKUP(calls[[#This Row],[Customer ID]],customers[Customer ID],customers[City])</f>
        <v>Columbus</v>
      </c>
    </row>
    <row r="517" spans="2:16" x14ac:dyDescent="0.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s="22" t="b">
        <f>IF(calls[[#This Row],[Rating rounded]]&gt;=4,"Happy")</f>
        <v>0</v>
      </c>
      <c r="N517" s="22" t="str">
        <f>_xlfn.XLOOKUP(calls[[#This Row],[Customer ID]],customers[Customer ID],customers[Gedner])</f>
        <v>Female</v>
      </c>
      <c r="O517" s="22">
        <f>_xlfn.XLOOKUP(calls[[#This Row],[Customer ID]],customers[Customer ID],customers[Age])</f>
        <v>30</v>
      </c>
      <c r="P517" s="22" t="str">
        <f>_xlfn.XLOOKUP(calls[[#This Row],[Customer ID]],customers[Customer ID],customers[City])</f>
        <v>Cleveland</v>
      </c>
    </row>
    <row r="518" spans="2:16" x14ac:dyDescent="0.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s="22" t="str">
        <f>IF(calls[[#This Row],[Rating rounded]]&gt;=4,"Happy")</f>
        <v>Happy</v>
      </c>
      <c r="N518" s="22" t="str">
        <f>_xlfn.XLOOKUP(calls[[#This Row],[Customer ID]],customers[Customer ID],customers[Gedner])</f>
        <v>Female</v>
      </c>
      <c r="O518" s="22">
        <f>_xlfn.XLOOKUP(calls[[#This Row],[Customer ID]],customers[Customer ID],customers[Age])</f>
        <v>43</v>
      </c>
      <c r="P518" s="22" t="str">
        <f>_xlfn.XLOOKUP(calls[[#This Row],[Customer ID]],customers[Customer ID],customers[City])</f>
        <v>Cleveland</v>
      </c>
    </row>
    <row r="519" spans="2:16" x14ac:dyDescent="0.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s="22" t="b">
        <f>IF(calls[[#This Row],[Rating rounded]]&gt;=4,"Happy")</f>
        <v>0</v>
      </c>
      <c r="N519" s="22" t="str">
        <f>_xlfn.XLOOKUP(calls[[#This Row],[Customer ID]],customers[Customer ID],customers[Gedner])</f>
        <v>Female</v>
      </c>
      <c r="O519" s="22">
        <f>_xlfn.XLOOKUP(calls[[#This Row],[Customer ID]],customers[Customer ID],customers[Age])</f>
        <v>22</v>
      </c>
      <c r="P519" s="22" t="str">
        <f>_xlfn.XLOOKUP(calls[[#This Row],[Customer ID]],customers[Customer ID],customers[City])</f>
        <v>Cleveland</v>
      </c>
    </row>
    <row r="520" spans="2:16" x14ac:dyDescent="0.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s="22" t="str">
        <f>IF(calls[[#This Row],[Rating rounded]]&gt;=4,"Happy")</f>
        <v>Happy</v>
      </c>
      <c r="N520" s="22" t="str">
        <f>_xlfn.XLOOKUP(calls[[#This Row],[Customer ID]],customers[Customer ID],customers[Gedner])</f>
        <v>Male</v>
      </c>
      <c r="O520" s="22">
        <f>_xlfn.XLOOKUP(calls[[#This Row],[Customer ID]],customers[Customer ID],customers[Age])</f>
        <v>23</v>
      </c>
      <c r="P520" s="22" t="str">
        <f>_xlfn.XLOOKUP(calls[[#This Row],[Customer ID]],customers[Customer ID],customers[City])</f>
        <v>Columbus</v>
      </c>
    </row>
    <row r="521" spans="2:16" x14ac:dyDescent="0.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s="22" t="str">
        <f>IF(calls[[#This Row],[Rating rounded]]&gt;=4,"Happy")</f>
        <v>Happy</v>
      </c>
      <c r="N521" s="22" t="str">
        <f>_xlfn.XLOOKUP(calls[[#This Row],[Customer ID]],customers[Customer ID],customers[Gedner])</f>
        <v>Female</v>
      </c>
      <c r="O521" s="22">
        <f>_xlfn.XLOOKUP(calls[[#This Row],[Customer ID]],customers[Customer ID],customers[Age])</f>
        <v>30</v>
      </c>
      <c r="P521" s="22" t="str">
        <f>_xlfn.XLOOKUP(calls[[#This Row],[Customer ID]],customers[Customer ID],customers[City])</f>
        <v>Cleveland</v>
      </c>
    </row>
    <row r="522" spans="2:16" x14ac:dyDescent="0.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s="22" t="str">
        <f>IF(calls[[#This Row],[Rating rounded]]&gt;=4,"Happy")</f>
        <v>Happy</v>
      </c>
      <c r="N522" s="22" t="str">
        <f>_xlfn.XLOOKUP(calls[[#This Row],[Customer ID]],customers[Customer ID],customers[Gedner])</f>
        <v>Female</v>
      </c>
      <c r="O522" s="22">
        <f>_xlfn.XLOOKUP(calls[[#This Row],[Customer ID]],customers[Customer ID],customers[Age])</f>
        <v>38</v>
      </c>
      <c r="P522" s="22" t="str">
        <f>_xlfn.XLOOKUP(calls[[#This Row],[Customer ID]],customers[Customer ID],customers[City])</f>
        <v>Columbus</v>
      </c>
    </row>
    <row r="523" spans="2:16" x14ac:dyDescent="0.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s="22" t="str">
        <f>IF(calls[[#This Row],[Rating rounded]]&gt;=4,"Happy")</f>
        <v>Happy</v>
      </c>
      <c r="N523" s="22" t="str">
        <f>_xlfn.XLOOKUP(calls[[#This Row],[Customer ID]],customers[Customer ID],customers[Gedner])</f>
        <v>Female</v>
      </c>
      <c r="O523" s="22">
        <f>_xlfn.XLOOKUP(calls[[#This Row],[Customer ID]],customers[Customer ID],customers[Age])</f>
        <v>38</v>
      </c>
      <c r="P523" s="22" t="str">
        <f>_xlfn.XLOOKUP(calls[[#This Row],[Customer ID]],customers[Customer ID],customers[City])</f>
        <v>Columbus</v>
      </c>
    </row>
    <row r="524" spans="2:16" x14ac:dyDescent="0.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s="22" t="str">
        <f>IF(calls[[#This Row],[Rating rounded]]&gt;=4,"Happy")</f>
        <v>Happy</v>
      </c>
      <c r="N524" s="22" t="str">
        <f>_xlfn.XLOOKUP(calls[[#This Row],[Customer ID]],customers[Customer ID],customers[Gedner])</f>
        <v>Female</v>
      </c>
      <c r="O524" s="22">
        <f>_xlfn.XLOOKUP(calls[[#This Row],[Customer ID]],customers[Customer ID],customers[Age])</f>
        <v>42</v>
      </c>
      <c r="P524" s="22" t="str">
        <f>_xlfn.XLOOKUP(calls[[#This Row],[Customer ID]],customers[Customer ID],customers[City])</f>
        <v>Cleveland</v>
      </c>
    </row>
    <row r="525" spans="2:16" x14ac:dyDescent="0.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s="22" t="str">
        <f>IF(calls[[#This Row],[Rating rounded]]&gt;=4,"Happy")</f>
        <v>Happy</v>
      </c>
      <c r="N525" s="22" t="str">
        <f>_xlfn.XLOOKUP(calls[[#This Row],[Customer ID]],customers[Customer ID],customers[Gedner])</f>
        <v>Female</v>
      </c>
      <c r="O525" s="22">
        <f>_xlfn.XLOOKUP(calls[[#This Row],[Customer ID]],customers[Customer ID],customers[Age])</f>
        <v>37</v>
      </c>
      <c r="P525" s="22" t="str">
        <f>_xlfn.XLOOKUP(calls[[#This Row],[Customer ID]],customers[Customer ID],customers[City])</f>
        <v>Cleveland</v>
      </c>
    </row>
    <row r="526" spans="2:16" x14ac:dyDescent="0.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s="22" t="str">
        <f>IF(calls[[#This Row],[Rating rounded]]&gt;=4,"Happy")</f>
        <v>Happy</v>
      </c>
      <c r="N526" s="22" t="str">
        <f>_xlfn.XLOOKUP(calls[[#This Row],[Customer ID]],customers[Customer ID],customers[Gedner])</f>
        <v>Female</v>
      </c>
      <c r="O526" s="22">
        <f>_xlfn.XLOOKUP(calls[[#This Row],[Customer ID]],customers[Customer ID],customers[Age])</f>
        <v>28</v>
      </c>
      <c r="P526" s="22" t="str">
        <f>_xlfn.XLOOKUP(calls[[#This Row],[Customer ID]],customers[Customer ID],customers[City])</f>
        <v>Cincinnati</v>
      </c>
    </row>
    <row r="527" spans="2:16" x14ac:dyDescent="0.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s="22" t="str">
        <f>IF(calls[[#This Row],[Rating rounded]]&gt;=4,"Happy")</f>
        <v>Happy</v>
      </c>
      <c r="N527" s="22" t="str">
        <f>_xlfn.XLOOKUP(calls[[#This Row],[Customer ID]],customers[Customer ID],customers[Gedner])</f>
        <v>Female</v>
      </c>
      <c r="O527" s="22">
        <f>_xlfn.XLOOKUP(calls[[#This Row],[Customer ID]],customers[Customer ID],customers[Age])</f>
        <v>22</v>
      </c>
      <c r="P527" s="22" t="str">
        <f>_xlfn.XLOOKUP(calls[[#This Row],[Customer ID]],customers[Customer ID],customers[City])</f>
        <v>Cleveland</v>
      </c>
    </row>
    <row r="528" spans="2:16" x14ac:dyDescent="0.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s="22" t="b">
        <f>IF(calls[[#This Row],[Rating rounded]]&gt;=4,"Happy")</f>
        <v>0</v>
      </c>
      <c r="N528" s="22" t="str">
        <f>_xlfn.XLOOKUP(calls[[#This Row],[Customer ID]],customers[Customer ID],customers[Gedner])</f>
        <v>Female</v>
      </c>
      <c r="O528" s="22">
        <f>_xlfn.XLOOKUP(calls[[#This Row],[Customer ID]],customers[Customer ID],customers[Age])</f>
        <v>43</v>
      </c>
      <c r="P528" s="22" t="str">
        <f>_xlfn.XLOOKUP(calls[[#This Row],[Customer ID]],customers[Customer ID],customers[City])</f>
        <v>Cleveland</v>
      </c>
    </row>
    <row r="529" spans="2:16" x14ac:dyDescent="0.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s="22" t="str">
        <f>IF(calls[[#This Row],[Rating rounded]]&gt;=4,"Happy")</f>
        <v>Happy</v>
      </c>
      <c r="N529" s="22" t="str">
        <f>_xlfn.XLOOKUP(calls[[#This Row],[Customer ID]],customers[Customer ID],customers[Gedner])</f>
        <v>Male</v>
      </c>
      <c r="O529" s="22">
        <f>_xlfn.XLOOKUP(calls[[#This Row],[Customer ID]],customers[Customer ID],customers[Age])</f>
        <v>37</v>
      </c>
      <c r="P529" s="22" t="str">
        <f>_xlfn.XLOOKUP(calls[[#This Row],[Customer ID]],customers[Customer ID],customers[City])</f>
        <v>Columbus</v>
      </c>
    </row>
    <row r="530" spans="2:16" x14ac:dyDescent="0.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s="22" t="str">
        <f>IF(calls[[#This Row],[Rating rounded]]&gt;=4,"Happy")</f>
        <v>Happy</v>
      </c>
      <c r="N530" s="22" t="str">
        <f>_xlfn.XLOOKUP(calls[[#This Row],[Customer ID]],customers[Customer ID],customers[Gedner])</f>
        <v>Female</v>
      </c>
      <c r="O530" s="22">
        <f>_xlfn.XLOOKUP(calls[[#This Row],[Customer ID]],customers[Customer ID],customers[Age])</f>
        <v>28</v>
      </c>
      <c r="P530" s="22" t="str">
        <f>_xlfn.XLOOKUP(calls[[#This Row],[Customer ID]],customers[Customer ID],customers[City])</f>
        <v>Cincinnati</v>
      </c>
    </row>
    <row r="531" spans="2:16" x14ac:dyDescent="0.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s="22" t="str">
        <f>IF(calls[[#This Row],[Rating rounded]]&gt;=4,"Happy")</f>
        <v>Happy</v>
      </c>
      <c r="N531" s="22" t="str">
        <f>_xlfn.XLOOKUP(calls[[#This Row],[Customer ID]],customers[Customer ID],customers[Gedner])</f>
        <v>Female</v>
      </c>
      <c r="O531" s="22">
        <f>_xlfn.XLOOKUP(calls[[#This Row],[Customer ID]],customers[Customer ID],customers[Age])</f>
        <v>25</v>
      </c>
      <c r="P531" s="22" t="str">
        <f>_xlfn.XLOOKUP(calls[[#This Row],[Customer ID]],customers[Customer ID],customers[City])</f>
        <v>Columbus</v>
      </c>
    </row>
    <row r="532" spans="2:16" x14ac:dyDescent="0.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s="22" t="str">
        <f>IF(calls[[#This Row],[Rating rounded]]&gt;=4,"Happy")</f>
        <v>Happy</v>
      </c>
      <c r="N532" s="22" t="str">
        <f>_xlfn.XLOOKUP(calls[[#This Row],[Customer ID]],customers[Customer ID],customers[Gedner])</f>
        <v>Male</v>
      </c>
      <c r="O532" s="22">
        <f>_xlfn.XLOOKUP(calls[[#This Row],[Customer ID]],customers[Customer ID],customers[Age])</f>
        <v>36</v>
      </c>
      <c r="P532" s="22" t="str">
        <f>_xlfn.XLOOKUP(calls[[#This Row],[Customer ID]],customers[Customer ID],customers[City])</f>
        <v>Cincinnati</v>
      </c>
    </row>
    <row r="533" spans="2:16" x14ac:dyDescent="0.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s="22" t="str">
        <f>IF(calls[[#This Row],[Rating rounded]]&gt;=4,"Happy")</f>
        <v>Happy</v>
      </c>
      <c r="N533" s="22" t="str">
        <f>_xlfn.XLOOKUP(calls[[#This Row],[Customer ID]],customers[Customer ID],customers[Gedner])</f>
        <v>Male</v>
      </c>
      <c r="O533" s="22">
        <f>_xlfn.XLOOKUP(calls[[#This Row],[Customer ID]],customers[Customer ID],customers[Age])</f>
        <v>23</v>
      </c>
      <c r="P533" s="22" t="str">
        <f>_xlfn.XLOOKUP(calls[[#This Row],[Customer ID]],customers[Customer ID],customers[City])</f>
        <v>Columbus</v>
      </c>
    </row>
    <row r="534" spans="2:16" x14ac:dyDescent="0.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s="22" t="str">
        <f>IF(calls[[#This Row],[Rating rounded]]&gt;=4,"Happy")</f>
        <v>Happy</v>
      </c>
      <c r="N534" s="22" t="str">
        <f>_xlfn.XLOOKUP(calls[[#This Row],[Customer ID]],customers[Customer ID],customers[Gedner])</f>
        <v>Male</v>
      </c>
      <c r="O534" s="22">
        <f>_xlfn.XLOOKUP(calls[[#This Row],[Customer ID]],customers[Customer ID],customers[Age])</f>
        <v>41</v>
      </c>
      <c r="P534" s="22" t="str">
        <f>_xlfn.XLOOKUP(calls[[#This Row],[Customer ID]],customers[Customer ID],customers[City])</f>
        <v>Columbus</v>
      </c>
    </row>
    <row r="535" spans="2:16" x14ac:dyDescent="0.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s="22" t="str">
        <f>IF(calls[[#This Row],[Rating rounded]]&gt;=4,"Happy")</f>
        <v>Happy</v>
      </c>
      <c r="N535" s="22" t="str">
        <f>_xlfn.XLOOKUP(calls[[#This Row],[Customer ID]],customers[Customer ID],customers[Gedner])</f>
        <v>Male</v>
      </c>
      <c r="O535" s="22">
        <f>_xlfn.XLOOKUP(calls[[#This Row],[Customer ID]],customers[Customer ID],customers[Age])</f>
        <v>36</v>
      </c>
      <c r="P535" s="22" t="str">
        <f>_xlfn.XLOOKUP(calls[[#This Row],[Customer ID]],customers[Customer ID],customers[City])</f>
        <v>Cincinnati</v>
      </c>
    </row>
    <row r="536" spans="2:16" x14ac:dyDescent="0.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s="22" t="str">
        <f>IF(calls[[#This Row],[Rating rounded]]&gt;=4,"Happy")</f>
        <v>Happy</v>
      </c>
      <c r="N536" s="22" t="str">
        <f>_xlfn.XLOOKUP(calls[[#This Row],[Customer ID]],customers[Customer ID],customers[Gedner])</f>
        <v>Male</v>
      </c>
      <c r="O536" s="22">
        <f>_xlfn.XLOOKUP(calls[[#This Row],[Customer ID]],customers[Customer ID],customers[Age])</f>
        <v>23</v>
      </c>
      <c r="P536" s="22" t="str">
        <f>_xlfn.XLOOKUP(calls[[#This Row],[Customer ID]],customers[Customer ID],customers[City])</f>
        <v>Columbus</v>
      </c>
    </row>
    <row r="537" spans="2:16" x14ac:dyDescent="0.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s="22" t="str">
        <f>IF(calls[[#This Row],[Rating rounded]]&gt;=4,"Happy")</f>
        <v>Happy</v>
      </c>
      <c r="N537" s="22" t="str">
        <f>_xlfn.XLOOKUP(calls[[#This Row],[Customer ID]],customers[Customer ID],customers[Gedner])</f>
        <v>Female</v>
      </c>
      <c r="O537" s="22">
        <f>_xlfn.XLOOKUP(calls[[#This Row],[Customer ID]],customers[Customer ID],customers[Age])</f>
        <v>37</v>
      </c>
      <c r="P537" s="22" t="str">
        <f>_xlfn.XLOOKUP(calls[[#This Row],[Customer ID]],customers[Customer ID],customers[City])</f>
        <v>Cleveland</v>
      </c>
    </row>
    <row r="538" spans="2:16" x14ac:dyDescent="0.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s="22" t="str">
        <f>IF(calls[[#This Row],[Rating rounded]]&gt;=4,"Happy")</f>
        <v>Happy</v>
      </c>
      <c r="N538" s="22" t="str">
        <f>_xlfn.XLOOKUP(calls[[#This Row],[Customer ID]],customers[Customer ID],customers[Gedner])</f>
        <v>Female</v>
      </c>
      <c r="O538" s="22">
        <f>_xlfn.XLOOKUP(calls[[#This Row],[Customer ID]],customers[Customer ID],customers[Age])</f>
        <v>30</v>
      </c>
      <c r="P538" s="22" t="str">
        <f>_xlfn.XLOOKUP(calls[[#This Row],[Customer ID]],customers[Customer ID],customers[City])</f>
        <v>Cleveland</v>
      </c>
    </row>
    <row r="539" spans="2:16" x14ac:dyDescent="0.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s="22" t="str">
        <f>IF(calls[[#This Row],[Rating rounded]]&gt;=4,"Happy")</f>
        <v>Happy</v>
      </c>
      <c r="N539" s="22" t="str">
        <f>_xlfn.XLOOKUP(calls[[#This Row],[Customer ID]],customers[Customer ID],customers[Gedner])</f>
        <v>Male</v>
      </c>
      <c r="O539" s="22">
        <f>_xlfn.XLOOKUP(calls[[#This Row],[Customer ID]],customers[Customer ID],customers[Age])</f>
        <v>31</v>
      </c>
      <c r="P539" s="22" t="str">
        <f>_xlfn.XLOOKUP(calls[[#This Row],[Customer ID]],customers[Customer ID],customers[City])</f>
        <v>Cleveland</v>
      </c>
    </row>
    <row r="540" spans="2:16" x14ac:dyDescent="0.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s="22" t="str">
        <f>IF(calls[[#This Row],[Rating rounded]]&gt;=4,"Happy")</f>
        <v>Happy</v>
      </c>
      <c r="N540" s="22" t="str">
        <f>_xlfn.XLOOKUP(calls[[#This Row],[Customer ID]],customers[Customer ID],customers[Gedner])</f>
        <v>Female</v>
      </c>
      <c r="O540" s="22">
        <f>_xlfn.XLOOKUP(calls[[#This Row],[Customer ID]],customers[Customer ID],customers[Age])</f>
        <v>22</v>
      </c>
      <c r="P540" s="22" t="str">
        <f>_xlfn.XLOOKUP(calls[[#This Row],[Customer ID]],customers[Customer ID],customers[City])</f>
        <v>Cleveland</v>
      </c>
    </row>
    <row r="541" spans="2:16" x14ac:dyDescent="0.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s="22" t="str">
        <f>IF(calls[[#This Row],[Rating rounded]]&gt;=4,"Happy")</f>
        <v>Happy</v>
      </c>
      <c r="N541" s="22" t="str">
        <f>_xlfn.XLOOKUP(calls[[#This Row],[Customer ID]],customers[Customer ID],customers[Gedner])</f>
        <v>Female</v>
      </c>
      <c r="O541" s="22">
        <f>_xlfn.XLOOKUP(calls[[#This Row],[Customer ID]],customers[Customer ID],customers[Age])</f>
        <v>42</v>
      </c>
      <c r="P541" s="22" t="str">
        <f>_xlfn.XLOOKUP(calls[[#This Row],[Customer ID]],customers[Customer ID],customers[City])</f>
        <v>Cleveland</v>
      </c>
    </row>
    <row r="542" spans="2:16" x14ac:dyDescent="0.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s="22" t="str">
        <f>IF(calls[[#This Row],[Rating rounded]]&gt;=4,"Happy")</f>
        <v>Happy</v>
      </c>
      <c r="N542" s="22" t="str">
        <f>_xlfn.XLOOKUP(calls[[#This Row],[Customer ID]],customers[Customer ID],customers[Gedner])</f>
        <v>Female</v>
      </c>
      <c r="O542" s="22">
        <f>_xlfn.XLOOKUP(calls[[#This Row],[Customer ID]],customers[Customer ID],customers[Age])</f>
        <v>30</v>
      </c>
      <c r="P542" s="22" t="str">
        <f>_xlfn.XLOOKUP(calls[[#This Row],[Customer ID]],customers[Customer ID],customers[City])</f>
        <v>Cincinnati</v>
      </c>
    </row>
    <row r="543" spans="2:16" x14ac:dyDescent="0.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s="22" t="str">
        <f>IF(calls[[#This Row],[Rating rounded]]&gt;=4,"Happy")</f>
        <v>Happy</v>
      </c>
      <c r="N543" s="22" t="str">
        <f>_xlfn.XLOOKUP(calls[[#This Row],[Customer ID]],customers[Customer ID],customers[Gedner])</f>
        <v>Male</v>
      </c>
      <c r="O543" s="22">
        <f>_xlfn.XLOOKUP(calls[[#This Row],[Customer ID]],customers[Customer ID],customers[Age])</f>
        <v>26</v>
      </c>
      <c r="P543" s="22" t="str">
        <f>_xlfn.XLOOKUP(calls[[#This Row],[Customer ID]],customers[Customer ID],customers[City])</f>
        <v>Cincinnati</v>
      </c>
    </row>
    <row r="544" spans="2:16" x14ac:dyDescent="0.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s="22" t="b">
        <f>IF(calls[[#This Row],[Rating rounded]]&gt;=4,"Happy")</f>
        <v>0</v>
      </c>
      <c r="N544" s="22" t="str">
        <f>_xlfn.XLOOKUP(calls[[#This Row],[Customer ID]],customers[Customer ID],customers[Gedner])</f>
        <v>Male</v>
      </c>
      <c r="O544" s="22">
        <f>_xlfn.XLOOKUP(calls[[#This Row],[Customer ID]],customers[Customer ID],customers[Age])</f>
        <v>31</v>
      </c>
      <c r="P544" s="22" t="str">
        <f>_xlfn.XLOOKUP(calls[[#This Row],[Customer ID]],customers[Customer ID],customers[City])</f>
        <v>Cleveland</v>
      </c>
    </row>
    <row r="545" spans="2:16" x14ac:dyDescent="0.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s="22" t="str">
        <f>IF(calls[[#This Row],[Rating rounded]]&gt;=4,"Happy")</f>
        <v>Happy</v>
      </c>
      <c r="N545" s="22" t="str">
        <f>_xlfn.XLOOKUP(calls[[#This Row],[Customer ID]],customers[Customer ID],customers[Gedner])</f>
        <v>Male</v>
      </c>
      <c r="O545" s="22">
        <f>_xlfn.XLOOKUP(calls[[#This Row],[Customer ID]],customers[Customer ID],customers[Age])</f>
        <v>31</v>
      </c>
      <c r="P545" s="22" t="str">
        <f>_xlfn.XLOOKUP(calls[[#This Row],[Customer ID]],customers[Customer ID],customers[City])</f>
        <v>Cleveland</v>
      </c>
    </row>
    <row r="546" spans="2:16" x14ac:dyDescent="0.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s="22" t="str">
        <f>IF(calls[[#This Row],[Rating rounded]]&gt;=4,"Happy")</f>
        <v>Happy</v>
      </c>
      <c r="N546" s="22" t="str">
        <f>_xlfn.XLOOKUP(calls[[#This Row],[Customer ID]],customers[Customer ID],customers[Gedner])</f>
        <v>Male</v>
      </c>
      <c r="O546" s="22">
        <f>_xlfn.XLOOKUP(calls[[#This Row],[Customer ID]],customers[Customer ID],customers[Age])</f>
        <v>31</v>
      </c>
      <c r="P546" s="22" t="str">
        <f>_xlfn.XLOOKUP(calls[[#This Row],[Customer ID]],customers[Customer ID],customers[City])</f>
        <v>Cleveland</v>
      </c>
    </row>
    <row r="547" spans="2:16" x14ac:dyDescent="0.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s="22" t="str">
        <f>IF(calls[[#This Row],[Rating rounded]]&gt;=4,"Happy")</f>
        <v>Happy</v>
      </c>
      <c r="N547" s="22" t="str">
        <f>_xlfn.XLOOKUP(calls[[#This Row],[Customer ID]],customers[Customer ID],customers[Gedner])</f>
        <v>Female</v>
      </c>
      <c r="O547" s="22">
        <f>_xlfn.XLOOKUP(calls[[#This Row],[Customer ID]],customers[Customer ID],customers[Age])</f>
        <v>43</v>
      </c>
      <c r="P547" s="22" t="str">
        <f>_xlfn.XLOOKUP(calls[[#This Row],[Customer ID]],customers[Customer ID],customers[City])</f>
        <v>Cleveland</v>
      </c>
    </row>
    <row r="548" spans="2:16" x14ac:dyDescent="0.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s="22" t="b">
        <f>IF(calls[[#This Row],[Rating rounded]]&gt;=4,"Happy")</f>
        <v>0</v>
      </c>
      <c r="N548" s="22" t="str">
        <f>_xlfn.XLOOKUP(calls[[#This Row],[Customer ID]],customers[Customer ID],customers[Gedner])</f>
        <v>Female</v>
      </c>
      <c r="O548" s="22">
        <f>_xlfn.XLOOKUP(calls[[#This Row],[Customer ID]],customers[Customer ID],customers[Age])</f>
        <v>30</v>
      </c>
      <c r="P548" s="22" t="str">
        <f>_xlfn.XLOOKUP(calls[[#This Row],[Customer ID]],customers[Customer ID],customers[City])</f>
        <v>Cleveland</v>
      </c>
    </row>
    <row r="549" spans="2:16" x14ac:dyDescent="0.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s="22" t="b">
        <f>IF(calls[[#This Row],[Rating rounded]]&gt;=4,"Happy")</f>
        <v>0</v>
      </c>
      <c r="N549" s="22" t="str">
        <f>_xlfn.XLOOKUP(calls[[#This Row],[Customer ID]],customers[Customer ID],customers[Gedner])</f>
        <v>Male</v>
      </c>
      <c r="O549" s="22">
        <f>_xlfn.XLOOKUP(calls[[#This Row],[Customer ID]],customers[Customer ID],customers[Age])</f>
        <v>36</v>
      </c>
      <c r="P549" s="22" t="str">
        <f>_xlfn.XLOOKUP(calls[[#This Row],[Customer ID]],customers[Customer ID],customers[City])</f>
        <v>Cincinnati</v>
      </c>
    </row>
    <row r="550" spans="2:16" x14ac:dyDescent="0.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s="22" t="str">
        <f>IF(calls[[#This Row],[Rating rounded]]&gt;=4,"Happy")</f>
        <v>Happy</v>
      </c>
      <c r="N550" s="22" t="str">
        <f>_xlfn.XLOOKUP(calls[[#This Row],[Customer ID]],customers[Customer ID],customers[Gedner])</f>
        <v>Female</v>
      </c>
      <c r="O550" s="22">
        <f>_xlfn.XLOOKUP(calls[[#This Row],[Customer ID]],customers[Customer ID],customers[Age])</f>
        <v>28</v>
      </c>
      <c r="P550" s="22" t="str">
        <f>_xlfn.XLOOKUP(calls[[#This Row],[Customer ID]],customers[Customer ID],customers[City])</f>
        <v>Cincinnati</v>
      </c>
    </row>
    <row r="551" spans="2:16" x14ac:dyDescent="0.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s="22" t="str">
        <f>IF(calls[[#This Row],[Rating rounded]]&gt;=4,"Happy")</f>
        <v>Happy</v>
      </c>
      <c r="N551" s="22" t="str">
        <f>_xlfn.XLOOKUP(calls[[#This Row],[Customer ID]],customers[Customer ID],customers[Gedner])</f>
        <v>Female</v>
      </c>
      <c r="O551" s="22">
        <f>_xlfn.XLOOKUP(calls[[#This Row],[Customer ID]],customers[Customer ID],customers[Age])</f>
        <v>30</v>
      </c>
      <c r="P551" s="22" t="str">
        <f>_xlfn.XLOOKUP(calls[[#This Row],[Customer ID]],customers[Customer ID],customers[City])</f>
        <v>Cincinnati</v>
      </c>
    </row>
    <row r="552" spans="2:16" x14ac:dyDescent="0.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s="22" t="str">
        <f>IF(calls[[#This Row],[Rating rounded]]&gt;=4,"Happy")</f>
        <v>Happy</v>
      </c>
      <c r="N552" s="22" t="str">
        <f>_xlfn.XLOOKUP(calls[[#This Row],[Customer ID]],customers[Customer ID],customers[Gedner])</f>
        <v>Male</v>
      </c>
      <c r="O552" s="22">
        <f>_xlfn.XLOOKUP(calls[[#This Row],[Customer ID]],customers[Customer ID],customers[Age])</f>
        <v>37</v>
      </c>
      <c r="P552" s="22" t="str">
        <f>_xlfn.XLOOKUP(calls[[#This Row],[Customer ID]],customers[Customer ID],customers[City])</f>
        <v>Columbus</v>
      </c>
    </row>
    <row r="553" spans="2:16" x14ac:dyDescent="0.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s="22" t="str">
        <f>IF(calls[[#This Row],[Rating rounded]]&gt;=4,"Happy")</f>
        <v>Happy</v>
      </c>
      <c r="N553" s="22" t="str">
        <f>_xlfn.XLOOKUP(calls[[#This Row],[Customer ID]],customers[Customer ID],customers[Gedner])</f>
        <v>Male</v>
      </c>
      <c r="O553" s="22">
        <f>_xlfn.XLOOKUP(calls[[#This Row],[Customer ID]],customers[Customer ID],customers[Age])</f>
        <v>37</v>
      </c>
      <c r="P553" s="22" t="str">
        <f>_xlfn.XLOOKUP(calls[[#This Row],[Customer ID]],customers[Customer ID],customers[City])</f>
        <v>Columbus</v>
      </c>
    </row>
    <row r="554" spans="2:16" x14ac:dyDescent="0.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s="22" t="str">
        <f>IF(calls[[#This Row],[Rating rounded]]&gt;=4,"Happy")</f>
        <v>Happy</v>
      </c>
      <c r="N554" s="22" t="str">
        <f>_xlfn.XLOOKUP(calls[[#This Row],[Customer ID]],customers[Customer ID],customers[Gedner])</f>
        <v>Female</v>
      </c>
      <c r="O554" s="22">
        <f>_xlfn.XLOOKUP(calls[[#This Row],[Customer ID]],customers[Customer ID],customers[Age])</f>
        <v>28</v>
      </c>
      <c r="P554" s="22" t="str">
        <f>_xlfn.XLOOKUP(calls[[#This Row],[Customer ID]],customers[Customer ID],customers[City])</f>
        <v>Cincinnati</v>
      </c>
    </row>
    <row r="555" spans="2:16" x14ac:dyDescent="0.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s="22" t="str">
        <f>IF(calls[[#This Row],[Rating rounded]]&gt;=4,"Happy")</f>
        <v>Happy</v>
      </c>
      <c r="N555" s="22" t="str">
        <f>_xlfn.XLOOKUP(calls[[#This Row],[Customer ID]],customers[Customer ID],customers[Gedner])</f>
        <v>Female</v>
      </c>
      <c r="O555" s="22">
        <f>_xlfn.XLOOKUP(calls[[#This Row],[Customer ID]],customers[Customer ID],customers[Age])</f>
        <v>30</v>
      </c>
      <c r="P555" s="22" t="str">
        <f>_xlfn.XLOOKUP(calls[[#This Row],[Customer ID]],customers[Customer ID],customers[City])</f>
        <v>Cincinnati</v>
      </c>
    </row>
    <row r="556" spans="2:16" x14ac:dyDescent="0.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s="22" t="str">
        <f>IF(calls[[#This Row],[Rating rounded]]&gt;=4,"Happy")</f>
        <v>Happy</v>
      </c>
      <c r="N556" s="22" t="str">
        <f>_xlfn.XLOOKUP(calls[[#This Row],[Customer ID]],customers[Customer ID],customers[Gedner])</f>
        <v>Male</v>
      </c>
      <c r="O556" s="22">
        <f>_xlfn.XLOOKUP(calls[[#This Row],[Customer ID]],customers[Customer ID],customers[Age])</f>
        <v>26</v>
      </c>
      <c r="P556" s="22" t="str">
        <f>_xlfn.XLOOKUP(calls[[#This Row],[Customer ID]],customers[Customer ID],customers[City])</f>
        <v>Cincinnati</v>
      </c>
    </row>
    <row r="557" spans="2:16" x14ac:dyDescent="0.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s="22" t="str">
        <f>IF(calls[[#This Row],[Rating rounded]]&gt;=4,"Happy")</f>
        <v>Happy</v>
      </c>
      <c r="N557" s="22" t="str">
        <f>_xlfn.XLOOKUP(calls[[#This Row],[Customer ID]],customers[Customer ID],customers[Gedner])</f>
        <v>Female</v>
      </c>
      <c r="O557" s="22">
        <f>_xlfn.XLOOKUP(calls[[#This Row],[Customer ID]],customers[Customer ID],customers[Age])</f>
        <v>42</v>
      </c>
      <c r="P557" s="22" t="str">
        <f>_xlfn.XLOOKUP(calls[[#This Row],[Customer ID]],customers[Customer ID],customers[City])</f>
        <v>Cleveland</v>
      </c>
    </row>
    <row r="558" spans="2:16" x14ac:dyDescent="0.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s="22" t="str">
        <f>IF(calls[[#This Row],[Rating rounded]]&gt;=4,"Happy")</f>
        <v>Happy</v>
      </c>
      <c r="N558" s="22" t="str">
        <f>_xlfn.XLOOKUP(calls[[#This Row],[Customer ID]],customers[Customer ID],customers[Gedner])</f>
        <v>Female</v>
      </c>
      <c r="O558" s="22">
        <f>_xlfn.XLOOKUP(calls[[#This Row],[Customer ID]],customers[Customer ID],customers[Age])</f>
        <v>30</v>
      </c>
      <c r="P558" s="22" t="str">
        <f>_xlfn.XLOOKUP(calls[[#This Row],[Customer ID]],customers[Customer ID],customers[City])</f>
        <v>Cleveland</v>
      </c>
    </row>
    <row r="559" spans="2:16" x14ac:dyDescent="0.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s="22" t="b">
        <f>IF(calls[[#This Row],[Rating rounded]]&gt;=4,"Happy")</f>
        <v>0</v>
      </c>
      <c r="N559" s="22" t="str">
        <f>_xlfn.XLOOKUP(calls[[#This Row],[Customer ID]],customers[Customer ID],customers[Gedner])</f>
        <v>Female</v>
      </c>
      <c r="O559" s="22">
        <f>_xlfn.XLOOKUP(calls[[#This Row],[Customer ID]],customers[Customer ID],customers[Age])</f>
        <v>22</v>
      </c>
      <c r="P559" s="22" t="str">
        <f>_xlfn.XLOOKUP(calls[[#This Row],[Customer ID]],customers[Customer ID],customers[City])</f>
        <v>Cleveland</v>
      </c>
    </row>
    <row r="560" spans="2:16" x14ac:dyDescent="0.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s="22" t="str">
        <f>IF(calls[[#This Row],[Rating rounded]]&gt;=4,"Happy")</f>
        <v>Happy</v>
      </c>
      <c r="N560" s="22" t="str">
        <f>_xlfn.XLOOKUP(calls[[#This Row],[Customer ID]],customers[Customer ID],customers[Gedner])</f>
        <v>Male</v>
      </c>
      <c r="O560" s="22">
        <f>_xlfn.XLOOKUP(calls[[#This Row],[Customer ID]],customers[Customer ID],customers[Age])</f>
        <v>31</v>
      </c>
      <c r="P560" s="22" t="str">
        <f>_xlfn.XLOOKUP(calls[[#This Row],[Customer ID]],customers[Customer ID],customers[City])</f>
        <v>Cleveland</v>
      </c>
    </row>
    <row r="561" spans="2:16" x14ac:dyDescent="0.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s="22" t="b">
        <f>IF(calls[[#This Row],[Rating rounded]]&gt;=4,"Happy")</f>
        <v>0</v>
      </c>
      <c r="N561" s="22" t="str">
        <f>_xlfn.XLOOKUP(calls[[#This Row],[Customer ID]],customers[Customer ID],customers[Gedner])</f>
        <v>Female</v>
      </c>
      <c r="O561" s="22">
        <f>_xlfn.XLOOKUP(calls[[#This Row],[Customer ID]],customers[Customer ID],customers[Age])</f>
        <v>42</v>
      </c>
      <c r="P561" s="22" t="str">
        <f>_xlfn.XLOOKUP(calls[[#This Row],[Customer ID]],customers[Customer ID],customers[City])</f>
        <v>Cleveland</v>
      </c>
    </row>
    <row r="562" spans="2:16" x14ac:dyDescent="0.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s="22" t="b">
        <f>IF(calls[[#This Row],[Rating rounded]]&gt;=4,"Happy")</f>
        <v>0</v>
      </c>
      <c r="N562" s="22" t="str">
        <f>_xlfn.XLOOKUP(calls[[#This Row],[Customer ID]],customers[Customer ID],customers[Gedner])</f>
        <v>Male</v>
      </c>
      <c r="O562" s="22">
        <f>_xlfn.XLOOKUP(calls[[#This Row],[Customer ID]],customers[Customer ID],customers[Age])</f>
        <v>37</v>
      </c>
      <c r="P562" s="22" t="str">
        <f>_xlfn.XLOOKUP(calls[[#This Row],[Customer ID]],customers[Customer ID],customers[City])</f>
        <v>Columbus</v>
      </c>
    </row>
    <row r="563" spans="2:16" x14ac:dyDescent="0.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s="22" t="b">
        <f>IF(calls[[#This Row],[Rating rounded]]&gt;=4,"Happy")</f>
        <v>0</v>
      </c>
      <c r="N563" s="22" t="str">
        <f>_xlfn.XLOOKUP(calls[[#This Row],[Customer ID]],customers[Customer ID],customers[Gedner])</f>
        <v>Male</v>
      </c>
      <c r="O563" s="22">
        <f>_xlfn.XLOOKUP(calls[[#This Row],[Customer ID]],customers[Customer ID],customers[Age])</f>
        <v>37</v>
      </c>
      <c r="P563" s="22" t="str">
        <f>_xlfn.XLOOKUP(calls[[#This Row],[Customer ID]],customers[Customer ID],customers[City])</f>
        <v>Columbus</v>
      </c>
    </row>
    <row r="564" spans="2:16" x14ac:dyDescent="0.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s="22" t="str">
        <f>IF(calls[[#This Row],[Rating rounded]]&gt;=4,"Happy")</f>
        <v>Happy</v>
      </c>
      <c r="N564" s="22" t="str">
        <f>_xlfn.XLOOKUP(calls[[#This Row],[Customer ID]],customers[Customer ID],customers[Gedner])</f>
        <v>Female</v>
      </c>
      <c r="O564" s="22">
        <f>_xlfn.XLOOKUP(calls[[#This Row],[Customer ID]],customers[Customer ID],customers[Age])</f>
        <v>22</v>
      </c>
      <c r="P564" s="22" t="str">
        <f>_xlfn.XLOOKUP(calls[[#This Row],[Customer ID]],customers[Customer ID],customers[City])</f>
        <v>Cleveland</v>
      </c>
    </row>
    <row r="565" spans="2:16" x14ac:dyDescent="0.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s="22" t="b">
        <f>IF(calls[[#This Row],[Rating rounded]]&gt;=4,"Happy")</f>
        <v>0</v>
      </c>
      <c r="N565" s="22" t="str">
        <f>_xlfn.XLOOKUP(calls[[#This Row],[Customer ID]],customers[Customer ID],customers[Gedner])</f>
        <v>Male</v>
      </c>
      <c r="O565" s="22">
        <f>_xlfn.XLOOKUP(calls[[#This Row],[Customer ID]],customers[Customer ID],customers[Age])</f>
        <v>41</v>
      </c>
      <c r="P565" s="22" t="str">
        <f>_xlfn.XLOOKUP(calls[[#This Row],[Customer ID]],customers[Customer ID],customers[City])</f>
        <v>Columbus</v>
      </c>
    </row>
    <row r="566" spans="2:16" x14ac:dyDescent="0.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s="22" t="str">
        <f>IF(calls[[#This Row],[Rating rounded]]&gt;=4,"Happy")</f>
        <v>Happy</v>
      </c>
      <c r="N566" s="22" t="str">
        <f>_xlfn.XLOOKUP(calls[[#This Row],[Customer ID]],customers[Customer ID],customers[Gedner])</f>
        <v>Male</v>
      </c>
      <c r="O566" s="22">
        <f>_xlfn.XLOOKUP(calls[[#This Row],[Customer ID]],customers[Customer ID],customers[Age])</f>
        <v>41</v>
      </c>
      <c r="P566" s="22" t="str">
        <f>_xlfn.XLOOKUP(calls[[#This Row],[Customer ID]],customers[Customer ID],customers[City])</f>
        <v>Columbus</v>
      </c>
    </row>
    <row r="567" spans="2:16" x14ac:dyDescent="0.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s="22" t="str">
        <f>IF(calls[[#This Row],[Rating rounded]]&gt;=4,"Happy")</f>
        <v>Happy</v>
      </c>
      <c r="N567" s="22" t="str">
        <f>_xlfn.XLOOKUP(calls[[#This Row],[Customer ID]],customers[Customer ID],customers[Gedner])</f>
        <v>Female</v>
      </c>
      <c r="O567" s="22">
        <f>_xlfn.XLOOKUP(calls[[#This Row],[Customer ID]],customers[Customer ID],customers[Age])</f>
        <v>43</v>
      </c>
      <c r="P567" s="22" t="str">
        <f>_xlfn.XLOOKUP(calls[[#This Row],[Customer ID]],customers[Customer ID],customers[City])</f>
        <v>Cleveland</v>
      </c>
    </row>
    <row r="568" spans="2:16" x14ac:dyDescent="0.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s="22" t="str">
        <f>IF(calls[[#This Row],[Rating rounded]]&gt;=4,"Happy")</f>
        <v>Happy</v>
      </c>
      <c r="N568" s="22" t="str">
        <f>_xlfn.XLOOKUP(calls[[#This Row],[Customer ID]],customers[Customer ID],customers[Gedner])</f>
        <v>Female</v>
      </c>
      <c r="O568" s="22">
        <f>_xlfn.XLOOKUP(calls[[#This Row],[Customer ID]],customers[Customer ID],customers[Age])</f>
        <v>22</v>
      </c>
      <c r="P568" s="22" t="str">
        <f>_xlfn.XLOOKUP(calls[[#This Row],[Customer ID]],customers[Customer ID],customers[City])</f>
        <v>Cleveland</v>
      </c>
    </row>
    <row r="569" spans="2:16" x14ac:dyDescent="0.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s="22" t="b">
        <f>IF(calls[[#This Row],[Rating rounded]]&gt;=4,"Happy")</f>
        <v>0</v>
      </c>
      <c r="N569" s="22" t="str">
        <f>_xlfn.XLOOKUP(calls[[#This Row],[Customer ID]],customers[Customer ID],customers[Gedner])</f>
        <v>Female</v>
      </c>
      <c r="O569" s="22">
        <f>_xlfn.XLOOKUP(calls[[#This Row],[Customer ID]],customers[Customer ID],customers[Age])</f>
        <v>22</v>
      </c>
      <c r="P569" s="22" t="str">
        <f>_xlfn.XLOOKUP(calls[[#This Row],[Customer ID]],customers[Customer ID],customers[City])</f>
        <v>Cleveland</v>
      </c>
    </row>
    <row r="570" spans="2:16" x14ac:dyDescent="0.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s="22" t="b">
        <f>IF(calls[[#This Row],[Rating rounded]]&gt;=4,"Happy")</f>
        <v>0</v>
      </c>
      <c r="N570" s="22" t="str">
        <f>_xlfn.XLOOKUP(calls[[#This Row],[Customer ID]],customers[Customer ID],customers[Gedner])</f>
        <v>Male</v>
      </c>
      <c r="O570" s="22">
        <f>_xlfn.XLOOKUP(calls[[#This Row],[Customer ID]],customers[Customer ID],customers[Age])</f>
        <v>37</v>
      </c>
      <c r="P570" s="22" t="str">
        <f>_xlfn.XLOOKUP(calls[[#This Row],[Customer ID]],customers[Customer ID],customers[City])</f>
        <v>Columbus</v>
      </c>
    </row>
    <row r="571" spans="2:16" x14ac:dyDescent="0.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s="22" t="str">
        <f>IF(calls[[#This Row],[Rating rounded]]&gt;=4,"Happy")</f>
        <v>Happy</v>
      </c>
      <c r="N571" s="22" t="str">
        <f>_xlfn.XLOOKUP(calls[[#This Row],[Customer ID]],customers[Customer ID],customers[Gedner])</f>
        <v>Female</v>
      </c>
      <c r="O571" s="22">
        <f>_xlfn.XLOOKUP(calls[[#This Row],[Customer ID]],customers[Customer ID],customers[Age])</f>
        <v>37</v>
      </c>
      <c r="P571" s="22" t="str">
        <f>_xlfn.XLOOKUP(calls[[#This Row],[Customer ID]],customers[Customer ID],customers[City])</f>
        <v>Cleveland</v>
      </c>
    </row>
    <row r="572" spans="2:16" x14ac:dyDescent="0.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s="22" t="str">
        <f>IF(calls[[#This Row],[Rating rounded]]&gt;=4,"Happy")</f>
        <v>Happy</v>
      </c>
      <c r="N572" s="22" t="str">
        <f>_xlfn.XLOOKUP(calls[[#This Row],[Customer ID]],customers[Customer ID],customers[Gedner])</f>
        <v>Male</v>
      </c>
      <c r="O572" s="22">
        <f>_xlfn.XLOOKUP(calls[[#This Row],[Customer ID]],customers[Customer ID],customers[Age])</f>
        <v>37</v>
      </c>
      <c r="P572" s="22" t="str">
        <f>_xlfn.XLOOKUP(calls[[#This Row],[Customer ID]],customers[Customer ID],customers[City])</f>
        <v>Columbus</v>
      </c>
    </row>
    <row r="573" spans="2:16" x14ac:dyDescent="0.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s="22" t="b">
        <f>IF(calls[[#This Row],[Rating rounded]]&gt;=4,"Happy")</f>
        <v>0</v>
      </c>
      <c r="N573" s="22" t="str">
        <f>_xlfn.XLOOKUP(calls[[#This Row],[Customer ID]],customers[Customer ID],customers[Gedner])</f>
        <v>Female</v>
      </c>
      <c r="O573" s="22">
        <f>_xlfn.XLOOKUP(calls[[#This Row],[Customer ID]],customers[Customer ID],customers[Age])</f>
        <v>25</v>
      </c>
      <c r="P573" s="22" t="str">
        <f>_xlfn.XLOOKUP(calls[[#This Row],[Customer ID]],customers[Customer ID],customers[City])</f>
        <v>Columbus</v>
      </c>
    </row>
    <row r="574" spans="2:16" x14ac:dyDescent="0.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s="22" t="str">
        <f>IF(calls[[#This Row],[Rating rounded]]&gt;=4,"Happy")</f>
        <v>Happy</v>
      </c>
      <c r="N574" s="22" t="str">
        <f>_xlfn.XLOOKUP(calls[[#This Row],[Customer ID]],customers[Customer ID],customers[Gedner])</f>
        <v>Female</v>
      </c>
      <c r="O574" s="22">
        <f>_xlfn.XLOOKUP(calls[[#This Row],[Customer ID]],customers[Customer ID],customers[Age])</f>
        <v>37</v>
      </c>
      <c r="P574" s="22" t="str">
        <f>_xlfn.XLOOKUP(calls[[#This Row],[Customer ID]],customers[Customer ID],customers[City])</f>
        <v>Cleveland</v>
      </c>
    </row>
    <row r="575" spans="2:16" x14ac:dyDescent="0.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s="22" t="str">
        <f>IF(calls[[#This Row],[Rating rounded]]&gt;=4,"Happy")</f>
        <v>Happy</v>
      </c>
      <c r="N575" s="22" t="str">
        <f>_xlfn.XLOOKUP(calls[[#This Row],[Customer ID]],customers[Customer ID],customers[Gedner])</f>
        <v>Female</v>
      </c>
      <c r="O575" s="22">
        <f>_xlfn.XLOOKUP(calls[[#This Row],[Customer ID]],customers[Customer ID],customers[Age])</f>
        <v>22</v>
      </c>
      <c r="P575" s="22" t="str">
        <f>_xlfn.XLOOKUP(calls[[#This Row],[Customer ID]],customers[Customer ID],customers[City])</f>
        <v>Cleveland</v>
      </c>
    </row>
    <row r="576" spans="2:16" x14ac:dyDescent="0.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s="22" t="str">
        <f>IF(calls[[#This Row],[Rating rounded]]&gt;=4,"Happy")</f>
        <v>Happy</v>
      </c>
      <c r="N576" s="22" t="str">
        <f>_xlfn.XLOOKUP(calls[[#This Row],[Customer ID]],customers[Customer ID],customers[Gedner])</f>
        <v>Male</v>
      </c>
      <c r="O576" s="22">
        <f>_xlfn.XLOOKUP(calls[[#This Row],[Customer ID]],customers[Customer ID],customers[Age])</f>
        <v>31</v>
      </c>
      <c r="P576" s="22" t="str">
        <f>_xlfn.XLOOKUP(calls[[#This Row],[Customer ID]],customers[Customer ID],customers[City])</f>
        <v>Cleveland</v>
      </c>
    </row>
    <row r="577" spans="2:16" x14ac:dyDescent="0.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s="22" t="b">
        <f>IF(calls[[#This Row],[Rating rounded]]&gt;=4,"Happy")</f>
        <v>0</v>
      </c>
      <c r="N577" s="22" t="str">
        <f>_xlfn.XLOOKUP(calls[[#This Row],[Customer ID]],customers[Customer ID],customers[Gedner])</f>
        <v>Male</v>
      </c>
      <c r="O577" s="22">
        <f>_xlfn.XLOOKUP(calls[[#This Row],[Customer ID]],customers[Customer ID],customers[Age])</f>
        <v>37</v>
      </c>
      <c r="P577" s="22" t="str">
        <f>_xlfn.XLOOKUP(calls[[#This Row],[Customer ID]],customers[Customer ID],customers[City])</f>
        <v>Columbus</v>
      </c>
    </row>
    <row r="578" spans="2:16" x14ac:dyDescent="0.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s="22" t="str">
        <f>IF(calls[[#This Row],[Rating rounded]]&gt;=4,"Happy")</f>
        <v>Happy</v>
      </c>
      <c r="N578" s="22" t="str">
        <f>_xlfn.XLOOKUP(calls[[#This Row],[Customer ID]],customers[Customer ID],customers[Gedner])</f>
        <v>Female</v>
      </c>
      <c r="O578" s="22">
        <f>_xlfn.XLOOKUP(calls[[#This Row],[Customer ID]],customers[Customer ID],customers[Age])</f>
        <v>22</v>
      </c>
      <c r="P578" s="22" t="str">
        <f>_xlfn.XLOOKUP(calls[[#This Row],[Customer ID]],customers[Customer ID],customers[City])</f>
        <v>Cleveland</v>
      </c>
    </row>
    <row r="579" spans="2:16" x14ac:dyDescent="0.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s="22" t="str">
        <f>IF(calls[[#This Row],[Rating rounded]]&gt;=4,"Happy")</f>
        <v>Happy</v>
      </c>
      <c r="N579" s="22" t="str">
        <f>_xlfn.XLOOKUP(calls[[#This Row],[Customer ID]],customers[Customer ID],customers[Gedner])</f>
        <v>Female</v>
      </c>
      <c r="O579" s="22">
        <f>_xlfn.XLOOKUP(calls[[#This Row],[Customer ID]],customers[Customer ID],customers[Age])</f>
        <v>43</v>
      </c>
      <c r="P579" s="22" t="str">
        <f>_xlfn.XLOOKUP(calls[[#This Row],[Customer ID]],customers[Customer ID],customers[City])</f>
        <v>Cleveland</v>
      </c>
    </row>
    <row r="580" spans="2:16" x14ac:dyDescent="0.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s="22" t="str">
        <f>IF(calls[[#This Row],[Rating rounded]]&gt;=4,"Happy")</f>
        <v>Happy</v>
      </c>
      <c r="N580" s="22" t="str">
        <f>_xlfn.XLOOKUP(calls[[#This Row],[Customer ID]],customers[Customer ID],customers[Gedner])</f>
        <v>Female</v>
      </c>
      <c r="O580" s="22">
        <f>_xlfn.XLOOKUP(calls[[#This Row],[Customer ID]],customers[Customer ID],customers[Age])</f>
        <v>30</v>
      </c>
      <c r="P580" s="22" t="str">
        <f>_xlfn.XLOOKUP(calls[[#This Row],[Customer ID]],customers[Customer ID],customers[City])</f>
        <v>Cincinnati</v>
      </c>
    </row>
    <row r="581" spans="2:16" x14ac:dyDescent="0.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s="22" t="str">
        <f>IF(calls[[#This Row],[Rating rounded]]&gt;=4,"Happy")</f>
        <v>Happy</v>
      </c>
      <c r="N581" s="22" t="str">
        <f>_xlfn.XLOOKUP(calls[[#This Row],[Customer ID]],customers[Customer ID],customers[Gedner])</f>
        <v>Male</v>
      </c>
      <c r="O581" s="22">
        <f>_xlfn.XLOOKUP(calls[[#This Row],[Customer ID]],customers[Customer ID],customers[Age])</f>
        <v>36</v>
      </c>
      <c r="P581" s="22" t="str">
        <f>_xlfn.XLOOKUP(calls[[#This Row],[Customer ID]],customers[Customer ID],customers[City])</f>
        <v>Cincinnati</v>
      </c>
    </row>
    <row r="582" spans="2:16" x14ac:dyDescent="0.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s="22" t="b">
        <f>IF(calls[[#This Row],[Rating rounded]]&gt;=4,"Happy")</f>
        <v>0</v>
      </c>
      <c r="N582" s="22" t="str">
        <f>_xlfn.XLOOKUP(calls[[#This Row],[Customer ID]],customers[Customer ID],customers[Gedner])</f>
        <v>Female</v>
      </c>
      <c r="O582" s="22">
        <f>_xlfn.XLOOKUP(calls[[#This Row],[Customer ID]],customers[Customer ID],customers[Age])</f>
        <v>37</v>
      </c>
      <c r="P582" s="22" t="str">
        <f>_xlfn.XLOOKUP(calls[[#This Row],[Customer ID]],customers[Customer ID],customers[City])</f>
        <v>Cleveland</v>
      </c>
    </row>
    <row r="583" spans="2:16" x14ac:dyDescent="0.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s="22" t="str">
        <f>IF(calls[[#This Row],[Rating rounded]]&gt;=4,"Happy")</f>
        <v>Happy</v>
      </c>
      <c r="N583" s="22" t="str">
        <f>_xlfn.XLOOKUP(calls[[#This Row],[Customer ID]],customers[Customer ID],customers[Gedner])</f>
        <v>Female</v>
      </c>
      <c r="O583" s="22">
        <f>_xlfn.XLOOKUP(calls[[#This Row],[Customer ID]],customers[Customer ID],customers[Age])</f>
        <v>25</v>
      </c>
      <c r="P583" s="22" t="str">
        <f>_xlfn.XLOOKUP(calls[[#This Row],[Customer ID]],customers[Customer ID],customers[City])</f>
        <v>Columbus</v>
      </c>
    </row>
    <row r="584" spans="2:16" x14ac:dyDescent="0.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s="22" t="str">
        <f>IF(calls[[#This Row],[Rating rounded]]&gt;=4,"Happy")</f>
        <v>Happy</v>
      </c>
      <c r="N584" s="22" t="str">
        <f>_xlfn.XLOOKUP(calls[[#This Row],[Customer ID]],customers[Customer ID],customers[Gedner])</f>
        <v>Female</v>
      </c>
      <c r="O584" s="22">
        <f>_xlfn.XLOOKUP(calls[[#This Row],[Customer ID]],customers[Customer ID],customers[Age])</f>
        <v>30</v>
      </c>
      <c r="P584" s="22" t="str">
        <f>_xlfn.XLOOKUP(calls[[#This Row],[Customer ID]],customers[Customer ID],customers[City])</f>
        <v>Cleveland</v>
      </c>
    </row>
    <row r="585" spans="2:16" x14ac:dyDescent="0.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s="22" t="b">
        <f>IF(calls[[#This Row],[Rating rounded]]&gt;=4,"Happy")</f>
        <v>0</v>
      </c>
      <c r="N585" s="22" t="str">
        <f>_xlfn.XLOOKUP(calls[[#This Row],[Customer ID]],customers[Customer ID],customers[Gedner])</f>
        <v>Male</v>
      </c>
      <c r="O585" s="22">
        <f>_xlfn.XLOOKUP(calls[[#This Row],[Customer ID]],customers[Customer ID],customers[Age])</f>
        <v>31</v>
      </c>
      <c r="P585" s="22" t="str">
        <f>_xlfn.XLOOKUP(calls[[#This Row],[Customer ID]],customers[Customer ID],customers[City])</f>
        <v>Cleveland</v>
      </c>
    </row>
    <row r="586" spans="2:16" x14ac:dyDescent="0.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s="22" t="b">
        <f>IF(calls[[#This Row],[Rating rounded]]&gt;=4,"Happy")</f>
        <v>0</v>
      </c>
      <c r="N586" s="22" t="str">
        <f>_xlfn.XLOOKUP(calls[[#This Row],[Customer ID]],customers[Customer ID],customers[Gedner])</f>
        <v>Male</v>
      </c>
      <c r="O586" s="22">
        <f>_xlfn.XLOOKUP(calls[[#This Row],[Customer ID]],customers[Customer ID],customers[Age])</f>
        <v>41</v>
      </c>
      <c r="P586" s="22" t="str">
        <f>_xlfn.XLOOKUP(calls[[#This Row],[Customer ID]],customers[Customer ID],customers[City])</f>
        <v>Columbus</v>
      </c>
    </row>
    <row r="587" spans="2:16" x14ac:dyDescent="0.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s="22" t="b">
        <f>IF(calls[[#This Row],[Rating rounded]]&gt;=4,"Happy")</f>
        <v>0</v>
      </c>
      <c r="N587" s="22" t="str">
        <f>_xlfn.XLOOKUP(calls[[#This Row],[Customer ID]],customers[Customer ID],customers[Gedner])</f>
        <v>Female</v>
      </c>
      <c r="O587" s="22">
        <f>_xlfn.XLOOKUP(calls[[#This Row],[Customer ID]],customers[Customer ID],customers[Age])</f>
        <v>30</v>
      </c>
      <c r="P587" s="22" t="str">
        <f>_xlfn.XLOOKUP(calls[[#This Row],[Customer ID]],customers[Customer ID],customers[City])</f>
        <v>Cleveland</v>
      </c>
    </row>
    <row r="588" spans="2:16" x14ac:dyDescent="0.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s="22" t="b">
        <f>IF(calls[[#This Row],[Rating rounded]]&gt;=4,"Happy")</f>
        <v>0</v>
      </c>
      <c r="N588" s="22" t="str">
        <f>_xlfn.XLOOKUP(calls[[#This Row],[Customer ID]],customers[Customer ID],customers[Gedner])</f>
        <v>Female</v>
      </c>
      <c r="O588" s="22">
        <f>_xlfn.XLOOKUP(calls[[#This Row],[Customer ID]],customers[Customer ID],customers[Age])</f>
        <v>37</v>
      </c>
      <c r="P588" s="22" t="str">
        <f>_xlfn.XLOOKUP(calls[[#This Row],[Customer ID]],customers[Customer ID],customers[City])</f>
        <v>Cleveland</v>
      </c>
    </row>
    <row r="589" spans="2:16" x14ac:dyDescent="0.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s="22" t="str">
        <f>IF(calls[[#This Row],[Rating rounded]]&gt;=4,"Happy")</f>
        <v>Happy</v>
      </c>
      <c r="N589" s="22" t="str">
        <f>_xlfn.XLOOKUP(calls[[#This Row],[Customer ID]],customers[Customer ID],customers[Gedner])</f>
        <v>Female</v>
      </c>
      <c r="O589" s="22">
        <f>_xlfn.XLOOKUP(calls[[#This Row],[Customer ID]],customers[Customer ID],customers[Age])</f>
        <v>38</v>
      </c>
      <c r="P589" s="22" t="str">
        <f>_xlfn.XLOOKUP(calls[[#This Row],[Customer ID]],customers[Customer ID],customers[City])</f>
        <v>Columbus</v>
      </c>
    </row>
    <row r="590" spans="2:16" x14ac:dyDescent="0.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s="22" t="str">
        <f>IF(calls[[#This Row],[Rating rounded]]&gt;=4,"Happy")</f>
        <v>Happy</v>
      </c>
      <c r="N590" s="22" t="str">
        <f>_xlfn.XLOOKUP(calls[[#This Row],[Customer ID]],customers[Customer ID],customers[Gedner])</f>
        <v>Male</v>
      </c>
      <c r="O590" s="22">
        <f>_xlfn.XLOOKUP(calls[[#This Row],[Customer ID]],customers[Customer ID],customers[Age])</f>
        <v>31</v>
      </c>
      <c r="P590" s="22" t="str">
        <f>_xlfn.XLOOKUP(calls[[#This Row],[Customer ID]],customers[Customer ID],customers[City])</f>
        <v>Cleveland</v>
      </c>
    </row>
    <row r="591" spans="2:16" x14ac:dyDescent="0.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s="22" t="str">
        <f>IF(calls[[#This Row],[Rating rounded]]&gt;=4,"Happy")</f>
        <v>Happy</v>
      </c>
      <c r="N591" s="22" t="str">
        <f>_xlfn.XLOOKUP(calls[[#This Row],[Customer ID]],customers[Customer ID],customers[Gedner])</f>
        <v>Female</v>
      </c>
      <c r="O591" s="22">
        <f>_xlfn.XLOOKUP(calls[[#This Row],[Customer ID]],customers[Customer ID],customers[Age])</f>
        <v>28</v>
      </c>
      <c r="P591" s="22" t="str">
        <f>_xlfn.XLOOKUP(calls[[#This Row],[Customer ID]],customers[Customer ID],customers[City])</f>
        <v>Cincinnati</v>
      </c>
    </row>
    <row r="592" spans="2:16" x14ac:dyDescent="0.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s="22" t="b">
        <f>IF(calls[[#This Row],[Rating rounded]]&gt;=4,"Happy")</f>
        <v>0</v>
      </c>
      <c r="N592" s="22" t="str">
        <f>_xlfn.XLOOKUP(calls[[#This Row],[Customer ID]],customers[Customer ID],customers[Gedner])</f>
        <v>Female</v>
      </c>
      <c r="O592" s="22">
        <f>_xlfn.XLOOKUP(calls[[#This Row],[Customer ID]],customers[Customer ID],customers[Age])</f>
        <v>38</v>
      </c>
      <c r="P592" s="22" t="str">
        <f>_xlfn.XLOOKUP(calls[[#This Row],[Customer ID]],customers[Customer ID],customers[City])</f>
        <v>Columbus</v>
      </c>
    </row>
    <row r="593" spans="2:16" x14ac:dyDescent="0.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s="22" t="str">
        <f>IF(calls[[#This Row],[Rating rounded]]&gt;=4,"Happy")</f>
        <v>Happy</v>
      </c>
      <c r="N593" s="22" t="str">
        <f>_xlfn.XLOOKUP(calls[[#This Row],[Customer ID]],customers[Customer ID],customers[Gedner])</f>
        <v>Male</v>
      </c>
      <c r="O593" s="22">
        <f>_xlfn.XLOOKUP(calls[[#This Row],[Customer ID]],customers[Customer ID],customers[Age])</f>
        <v>41</v>
      </c>
      <c r="P593" s="22" t="str">
        <f>_xlfn.XLOOKUP(calls[[#This Row],[Customer ID]],customers[Customer ID],customers[City])</f>
        <v>Columbus</v>
      </c>
    </row>
    <row r="594" spans="2:16" x14ac:dyDescent="0.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s="22" t="b">
        <f>IF(calls[[#This Row],[Rating rounded]]&gt;=4,"Happy")</f>
        <v>0</v>
      </c>
      <c r="N594" s="22" t="str">
        <f>_xlfn.XLOOKUP(calls[[#This Row],[Customer ID]],customers[Customer ID],customers[Gedner])</f>
        <v>Male</v>
      </c>
      <c r="O594" s="22">
        <f>_xlfn.XLOOKUP(calls[[#This Row],[Customer ID]],customers[Customer ID],customers[Age])</f>
        <v>41</v>
      </c>
      <c r="P594" s="22" t="str">
        <f>_xlfn.XLOOKUP(calls[[#This Row],[Customer ID]],customers[Customer ID],customers[City])</f>
        <v>Columbus</v>
      </c>
    </row>
    <row r="595" spans="2:16" x14ac:dyDescent="0.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s="22" t="str">
        <f>IF(calls[[#This Row],[Rating rounded]]&gt;=4,"Happy")</f>
        <v>Happy</v>
      </c>
      <c r="N595" s="22" t="str">
        <f>_xlfn.XLOOKUP(calls[[#This Row],[Customer ID]],customers[Customer ID],customers[Gedner])</f>
        <v>Male</v>
      </c>
      <c r="O595" s="22">
        <f>_xlfn.XLOOKUP(calls[[#This Row],[Customer ID]],customers[Customer ID],customers[Age])</f>
        <v>23</v>
      </c>
      <c r="P595" s="22" t="str">
        <f>_xlfn.XLOOKUP(calls[[#This Row],[Customer ID]],customers[Customer ID],customers[City])</f>
        <v>Columbus</v>
      </c>
    </row>
    <row r="596" spans="2:16" x14ac:dyDescent="0.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s="22" t="str">
        <f>IF(calls[[#This Row],[Rating rounded]]&gt;=4,"Happy")</f>
        <v>Happy</v>
      </c>
      <c r="N596" s="22" t="str">
        <f>_xlfn.XLOOKUP(calls[[#This Row],[Customer ID]],customers[Customer ID],customers[Gedner])</f>
        <v>Female</v>
      </c>
      <c r="O596" s="22">
        <f>_xlfn.XLOOKUP(calls[[#This Row],[Customer ID]],customers[Customer ID],customers[Age])</f>
        <v>37</v>
      </c>
      <c r="P596" s="22" t="str">
        <f>_xlfn.XLOOKUP(calls[[#This Row],[Customer ID]],customers[Customer ID],customers[City])</f>
        <v>Cleveland</v>
      </c>
    </row>
    <row r="597" spans="2:16" x14ac:dyDescent="0.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s="22" t="str">
        <f>IF(calls[[#This Row],[Rating rounded]]&gt;=4,"Happy")</f>
        <v>Happy</v>
      </c>
      <c r="N597" s="22" t="str">
        <f>_xlfn.XLOOKUP(calls[[#This Row],[Customer ID]],customers[Customer ID],customers[Gedner])</f>
        <v>Male</v>
      </c>
      <c r="O597" s="22">
        <f>_xlfn.XLOOKUP(calls[[#This Row],[Customer ID]],customers[Customer ID],customers[Age])</f>
        <v>23</v>
      </c>
      <c r="P597" s="22" t="str">
        <f>_xlfn.XLOOKUP(calls[[#This Row],[Customer ID]],customers[Customer ID],customers[City])</f>
        <v>Columbus</v>
      </c>
    </row>
    <row r="598" spans="2:16" x14ac:dyDescent="0.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s="22" t="b">
        <f>IF(calls[[#This Row],[Rating rounded]]&gt;=4,"Happy")</f>
        <v>0</v>
      </c>
      <c r="N598" s="22" t="str">
        <f>_xlfn.XLOOKUP(calls[[#This Row],[Customer ID]],customers[Customer ID],customers[Gedner])</f>
        <v>Female</v>
      </c>
      <c r="O598" s="22">
        <f>_xlfn.XLOOKUP(calls[[#This Row],[Customer ID]],customers[Customer ID],customers[Age])</f>
        <v>30</v>
      </c>
      <c r="P598" s="22" t="str">
        <f>_xlfn.XLOOKUP(calls[[#This Row],[Customer ID]],customers[Customer ID],customers[City])</f>
        <v>Cleveland</v>
      </c>
    </row>
    <row r="599" spans="2:16" x14ac:dyDescent="0.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s="22" t="str">
        <f>IF(calls[[#This Row],[Rating rounded]]&gt;=4,"Happy")</f>
        <v>Happy</v>
      </c>
      <c r="N599" s="22" t="str">
        <f>_xlfn.XLOOKUP(calls[[#This Row],[Customer ID]],customers[Customer ID],customers[Gedner])</f>
        <v>Male</v>
      </c>
      <c r="O599" s="22">
        <f>_xlfn.XLOOKUP(calls[[#This Row],[Customer ID]],customers[Customer ID],customers[Age])</f>
        <v>36</v>
      </c>
      <c r="P599" s="22" t="str">
        <f>_xlfn.XLOOKUP(calls[[#This Row],[Customer ID]],customers[Customer ID],customers[City])</f>
        <v>Cincinnati</v>
      </c>
    </row>
    <row r="600" spans="2:16" x14ac:dyDescent="0.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s="22" t="b">
        <f>IF(calls[[#This Row],[Rating rounded]]&gt;=4,"Happy")</f>
        <v>0</v>
      </c>
      <c r="N600" s="22" t="str">
        <f>_xlfn.XLOOKUP(calls[[#This Row],[Customer ID]],customers[Customer ID],customers[Gedner])</f>
        <v>Female</v>
      </c>
      <c r="O600" s="22">
        <f>_xlfn.XLOOKUP(calls[[#This Row],[Customer ID]],customers[Customer ID],customers[Age])</f>
        <v>30</v>
      </c>
      <c r="P600" s="22" t="str">
        <f>_xlfn.XLOOKUP(calls[[#This Row],[Customer ID]],customers[Customer ID],customers[City])</f>
        <v>Cleveland</v>
      </c>
    </row>
    <row r="601" spans="2:16" x14ac:dyDescent="0.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s="22" t="b">
        <f>IF(calls[[#This Row],[Rating rounded]]&gt;=4,"Happy")</f>
        <v>0</v>
      </c>
      <c r="N601" s="22" t="str">
        <f>_xlfn.XLOOKUP(calls[[#This Row],[Customer ID]],customers[Customer ID],customers[Gedner])</f>
        <v>Female</v>
      </c>
      <c r="O601" s="22">
        <f>_xlfn.XLOOKUP(calls[[#This Row],[Customer ID]],customers[Customer ID],customers[Age])</f>
        <v>30</v>
      </c>
      <c r="P601" s="22" t="str">
        <f>_xlfn.XLOOKUP(calls[[#This Row],[Customer ID]],customers[Customer ID],customers[City])</f>
        <v>Cincinnati</v>
      </c>
    </row>
    <row r="602" spans="2:16" x14ac:dyDescent="0.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s="22" t="b">
        <f>IF(calls[[#This Row],[Rating rounded]]&gt;=4,"Happy")</f>
        <v>0</v>
      </c>
      <c r="N602" s="22" t="str">
        <f>_xlfn.XLOOKUP(calls[[#This Row],[Customer ID]],customers[Customer ID],customers[Gedner])</f>
        <v>Male</v>
      </c>
      <c r="O602" s="22">
        <f>_xlfn.XLOOKUP(calls[[#This Row],[Customer ID]],customers[Customer ID],customers[Age])</f>
        <v>26</v>
      </c>
      <c r="P602" s="22" t="str">
        <f>_xlfn.XLOOKUP(calls[[#This Row],[Customer ID]],customers[Customer ID],customers[City])</f>
        <v>Cincinnati</v>
      </c>
    </row>
    <row r="603" spans="2:16" x14ac:dyDescent="0.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s="22" t="str">
        <f>IF(calls[[#This Row],[Rating rounded]]&gt;=4,"Happy")</f>
        <v>Happy</v>
      </c>
      <c r="N603" s="22" t="str">
        <f>_xlfn.XLOOKUP(calls[[#This Row],[Customer ID]],customers[Customer ID],customers[Gedner])</f>
        <v>Male</v>
      </c>
      <c r="O603" s="22">
        <f>_xlfn.XLOOKUP(calls[[#This Row],[Customer ID]],customers[Customer ID],customers[Age])</f>
        <v>23</v>
      </c>
      <c r="P603" s="22" t="str">
        <f>_xlfn.XLOOKUP(calls[[#This Row],[Customer ID]],customers[Customer ID],customers[City])</f>
        <v>Columbus</v>
      </c>
    </row>
    <row r="604" spans="2:16" x14ac:dyDescent="0.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s="22" t="str">
        <f>IF(calls[[#This Row],[Rating rounded]]&gt;=4,"Happy")</f>
        <v>Happy</v>
      </c>
      <c r="N604" s="22" t="str">
        <f>_xlfn.XLOOKUP(calls[[#This Row],[Customer ID]],customers[Customer ID],customers[Gedner])</f>
        <v>Female</v>
      </c>
      <c r="O604" s="22">
        <f>_xlfn.XLOOKUP(calls[[#This Row],[Customer ID]],customers[Customer ID],customers[Age])</f>
        <v>30</v>
      </c>
      <c r="P604" s="22" t="str">
        <f>_xlfn.XLOOKUP(calls[[#This Row],[Customer ID]],customers[Customer ID],customers[City])</f>
        <v>Cincinnati</v>
      </c>
    </row>
    <row r="605" spans="2:16" x14ac:dyDescent="0.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s="22" t="str">
        <f>IF(calls[[#This Row],[Rating rounded]]&gt;=4,"Happy")</f>
        <v>Happy</v>
      </c>
      <c r="N605" s="22" t="str">
        <f>_xlfn.XLOOKUP(calls[[#This Row],[Customer ID]],customers[Customer ID],customers[Gedner])</f>
        <v>Female</v>
      </c>
      <c r="O605" s="22">
        <f>_xlfn.XLOOKUP(calls[[#This Row],[Customer ID]],customers[Customer ID],customers[Age])</f>
        <v>38</v>
      </c>
      <c r="P605" s="22" t="str">
        <f>_xlfn.XLOOKUP(calls[[#This Row],[Customer ID]],customers[Customer ID],customers[City])</f>
        <v>Columbus</v>
      </c>
    </row>
    <row r="606" spans="2:16" x14ac:dyDescent="0.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s="22" t="str">
        <f>IF(calls[[#This Row],[Rating rounded]]&gt;=4,"Happy")</f>
        <v>Happy</v>
      </c>
      <c r="N606" s="22" t="str">
        <f>_xlfn.XLOOKUP(calls[[#This Row],[Customer ID]],customers[Customer ID],customers[Gedner])</f>
        <v>Male</v>
      </c>
      <c r="O606" s="22">
        <f>_xlfn.XLOOKUP(calls[[#This Row],[Customer ID]],customers[Customer ID],customers[Age])</f>
        <v>31</v>
      </c>
      <c r="P606" s="22" t="str">
        <f>_xlfn.XLOOKUP(calls[[#This Row],[Customer ID]],customers[Customer ID],customers[City])</f>
        <v>Cleveland</v>
      </c>
    </row>
    <row r="607" spans="2:16" x14ac:dyDescent="0.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s="22" t="str">
        <f>IF(calls[[#This Row],[Rating rounded]]&gt;=4,"Happy")</f>
        <v>Happy</v>
      </c>
      <c r="N607" s="22" t="str">
        <f>_xlfn.XLOOKUP(calls[[#This Row],[Customer ID]],customers[Customer ID],customers[Gedner])</f>
        <v>Female</v>
      </c>
      <c r="O607" s="22">
        <f>_xlfn.XLOOKUP(calls[[#This Row],[Customer ID]],customers[Customer ID],customers[Age])</f>
        <v>22</v>
      </c>
      <c r="P607" s="22" t="str">
        <f>_xlfn.XLOOKUP(calls[[#This Row],[Customer ID]],customers[Customer ID],customers[City])</f>
        <v>Cleveland</v>
      </c>
    </row>
    <row r="608" spans="2:16" x14ac:dyDescent="0.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s="22" t="str">
        <f>IF(calls[[#This Row],[Rating rounded]]&gt;=4,"Happy")</f>
        <v>Happy</v>
      </c>
      <c r="N608" s="22" t="str">
        <f>_xlfn.XLOOKUP(calls[[#This Row],[Customer ID]],customers[Customer ID],customers[Gedner])</f>
        <v>Male</v>
      </c>
      <c r="O608" s="22">
        <f>_xlfn.XLOOKUP(calls[[#This Row],[Customer ID]],customers[Customer ID],customers[Age])</f>
        <v>31</v>
      </c>
      <c r="P608" s="22" t="str">
        <f>_xlfn.XLOOKUP(calls[[#This Row],[Customer ID]],customers[Customer ID],customers[City])</f>
        <v>Cleveland</v>
      </c>
    </row>
    <row r="609" spans="2:16" x14ac:dyDescent="0.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s="22" t="str">
        <f>IF(calls[[#This Row],[Rating rounded]]&gt;=4,"Happy")</f>
        <v>Happy</v>
      </c>
      <c r="N609" s="22" t="str">
        <f>_xlfn.XLOOKUP(calls[[#This Row],[Customer ID]],customers[Customer ID],customers[Gedner])</f>
        <v>Male</v>
      </c>
      <c r="O609" s="22">
        <f>_xlfn.XLOOKUP(calls[[#This Row],[Customer ID]],customers[Customer ID],customers[Age])</f>
        <v>36</v>
      </c>
      <c r="P609" s="22" t="str">
        <f>_xlfn.XLOOKUP(calls[[#This Row],[Customer ID]],customers[Customer ID],customers[City])</f>
        <v>Cincinnati</v>
      </c>
    </row>
    <row r="610" spans="2:16" x14ac:dyDescent="0.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s="22" t="str">
        <f>IF(calls[[#This Row],[Rating rounded]]&gt;=4,"Happy")</f>
        <v>Happy</v>
      </c>
      <c r="N610" s="22" t="str">
        <f>_xlfn.XLOOKUP(calls[[#This Row],[Customer ID]],customers[Customer ID],customers[Gedner])</f>
        <v>Male</v>
      </c>
      <c r="O610" s="22">
        <f>_xlfn.XLOOKUP(calls[[#This Row],[Customer ID]],customers[Customer ID],customers[Age])</f>
        <v>31</v>
      </c>
      <c r="P610" s="22" t="str">
        <f>_xlfn.XLOOKUP(calls[[#This Row],[Customer ID]],customers[Customer ID],customers[City])</f>
        <v>Cleveland</v>
      </c>
    </row>
    <row r="611" spans="2:16" x14ac:dyDescent="0.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s="22" t="str">
        <f>IF(calls[[#This Row],[Rating rounded]]&gt;=4,"Happy")</f>
        <v>Happy</v>
      </c>
      <c r="N611" s="22" t="str">
        <f>_xlfn.XLOOKUP(calls[[#This Row],[Customer ID]],customers[Customer ID],customers[Gedner])</f>
        <v>Male</v>
      </c>
      <c r="O611" s="22">
        <f>_xlfn.XLOOKUP(calls[[#This Row],[Customer ID]],customers[Customer ID],customers[Age])</f>
        <v>37</v>
      </c>
      <c r="P611" s="22" t="str">
        <f>_xlfn.XLOOKUP(calls[[#This Row],[Customer ID]],customers[Customer ID],customers[City])</f>
        <v>Columbus</v>
      </c>
    </row>
    <row r="612" spans="2:16" x14ac:dyDescent="0.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s="22" t="b">
        <f>IF(calls[[#This Row],[Rating rounded]]&gt;=4,"Happy")</f>
        <v>0</v>
      </c>
      <c r="N612" s="22" t="str">
        <f>_xlfn.XLOOKUP(calls[[#This Row],[Customer ID]],customers[Customer ID],customers[Gedner])</f>
        <v>Female</v>
      </c>
      <c r="O612" s="22">
        <f>_xlfn.XLOOKUP(calls[[#This Row],[Customer ID]],customers[Customer ID],customers[Age])</f>
        <v>25</v>
      </c>
      <c r="P612" s="22" t="str">
        <f>_xlfn.XLOOKUP(calls[[#This Row],[Customer ID]],customers[Customer ID],customers[City])</f>
        <v>Columbus</v>
      </c>
    </row>
    <row r="613" spans="2:16" x14ac:dyDescent="0.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s="22" t="b">
        <f>IF(calls[[#This Row],[Rating rounded]]&gt;=4,"Happy")</f>
        <v>0</v>
      </c>
      <c r="N613" s="22" t="str">
        <f>_xlfn.XLOOKUP(calls[[#This Row],[Customer ID]],customers[Customer ID],customers[Gedner])</f>
        <v>Female</v>
      </c>
      <c r="O613" s="22">
        <f>_xlfn.XLOOKUP(calls[[#This Row],[Customer ID]],customers[Customer ID],customers[Age])</f>
        <v>43</v>
      </c>
      <c r="P613" s="22" t="str">
        <f>_xlfn.XLOOKUP(calls[[#This Row],[Customer ID]],customers[Customer ID],customers[City])</f>
        <v>Cleveland</v>
      </c>
    </row>
    <row r="614" spans="2:16" x14ac:dyDescent="0.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s="22" t="str">
        <f>IF(calls[[#This Row],[Rating rounded]]&gt;=4,"Happy")</f>
        <v>Happy</v>
      </c>
      <c r="N614" s="22" t="str">
        <f>_xlfn.XLOOKUP(calls[[#This Row],[Customer ID]],customers[Customer ID],customers[Gedner])</f>
        <v>Female</v>
      </c>
      <c r="O614" s="22">
        <f>_xlfn.XLOOKUP(calls[[#This Row],[Customer ID]],customers[Customer ID],customers[Age])</f>
        <v>30</v>
      </c>
      <c r="P614" s="22" t="str">
        <f>_xlfn.XLOOKUP(calls[[#This Row],[Customer ID]],customers[Customer ID],customers[City])</f>
        <v>Cincinnati</v>
      </c>
    </row>
    <row r="615" spans="2:16" x14ac:dyDescent="0.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s="22" t="str">
        <f>IF(calls[[#This Row],[Rating rounded]]&gt;=4,"Happy")</f>
        <v>Happy</v>
      </c>
      <c r="N615" s="22" t="str">
        <f>_xlfn.XLOOKUP(calls[[#This Row],[Customer ID]],customers[Customer ID],customers[Gedner])</f>
        <v>Female</v>
      </c>
      <c r="O615" s="22">
        <f>_xlfn.XLOOKUP(calls[[#This Row],[Customer ID]],customers[Customer ID],customers[Age])</f>
        <v>42</v>
      </c>
      <c r="P615" s="22" t="str">
        <f>_xlfn.XLOOKUP(calls[[#This Row],[Customer ID]],customers[Customer ID],customers[City])</f>
        <v>Cleveland</v>
      </c>
    </row>
    <row r="616" spans="2:16" x14ac:dyDescent="0.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s="22" t="str">
        <f>IF(calls[[#This Row],[Rating rounded]]&gt;=4,"Happy")</f>
        <v>Happy</v>
      </c>
      <c r="N616" s="22" t="str">
        <f>_xlfn.XLOOKUP(calls[[#This Row],[Customer ID]],customers[Customer ID],customers[Gedner])</f>
        <v>Male</v>
      </c>
      <c r="O616" s="22">
        <f>_xlfn.XLOOKUP(calls[[#This Row],[Customer ID]],customers[Customer ID],customers[Age])</f>
        <v>37</v>
      </c>
      <c r="P616" s="22" t="str">
        <f>_xlfn.XLOOKUP(calls[[#This Row],[Customer ID]],customers[Customer ID],customers[City])</f>
        <v>Columbus</v>
      </c>
    </row>
    <row r="617" spans="2:16" x14ac:dyDescent="0.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s="22" t="str">
        <f>IF(calls[[#This Row],[Rating rounded]]&gt;=4,"Happy")</f>
        <v>Happy</v>
      </c>
      <c r="N617" s="22" t="str">
        <f>_xlfn.XLOOKUP(calls[[#This Row],[Customer ID]],customers[Customer ID],customers[Gedner])</f>
        <v>Female</v>
      </c>
      <c r="O617" s="22">
        <f>_xlfn.XLOOKUP(calls[[#This Row],[Customer ID]],customers[Customer ID],customers[Age])</f>
        <v>37</v>
      </c>
      <c r="P617" s="22" t="str">
        <f>_xlfn.XLOOKUP(calls[[#This Row],[Customer ID]],customers[Customer ID],customers[City])</f>
        <v>Cleveland</v>
      </c>
    </row>
    <row r="618" spans="2:16" x14ac:dyDescent="0.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s="22" t="str">
        <f>IF(calls[[#This Row],[Rating rounded]]&gt;=4,"Happy")</f>
        <v>Happy</v>
      </c>
      <c r="N618" s="22" t="str">
        <f>_xlfn.XLOOKUP(calls[[#This Row],[Customer ID]],customers[Customer ID],customers[Gedner])</f>
        <v>Male</v>
      </c>
      <c r="O618" s="22">
        <f>_xlfn.XLOOKUP(calls[[#This Row],[Customer ID]],customers[Customer ID],customers[Age])</f>
        <v>23</v>
      </c>
      <c r="P618" s="22" t="str">
        <f>_xlfn.XLOOKUP(calls[[#This Row],[Customer ID]],customers[Customer ID],customers[City])</f>
        <v>Columbus</v>
      </c>
    </row>
    <row r="619" spans="2:16" x14ac:dyDescent="0.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s="22" t="str">
        <f>IF(calls[[#This Row],[Rating rounded]]&gt;=4,"Happy")</f>
        <v>Happy</v>
      </c>
      <c r="N619" s="22" t="str">
        <f>_xlfn.XLOOKUP(calls[[#This Row],[Customer ID]],customers[Customer ID],customers[Gedner])</f>
        <v>Female</v>
      </c>
      <c r="O619" s="22">
        <f>_xlfn.XLOOKUP(calls[[#This Row],[Customer ID]],customers[Customer ID],customers[Age])</f>
        <v>25</v>
      </c>
      <c r="P619" s="22" t="str">
        <f>_xlfn.XLOOKUP(calls[[#This Row],[Customer ID]],customers[Customer ID],customers[City])</f>
        <v>Columbus</v>
      </c>
    </row>
    <row r="620" spans="2:16" x14ac:dyDescent="0.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s="22" t="str">
        <f>IF(calls[[#This Row],[Rating rounded]]&gt;=4,"Happy")</f>
        <v>Happy</v>
      </c>
      <c r="N620" s="22" t="str">
        <f>_xlfn.XLOOKUP(calls[[#This Row],[Customer ID]],customers[Customer ID],customers[Gedner])</f>
        <v>Female</v>
      </c>
      <c r="O620" s="22">
        <f>_xlfn.XLOOKUP(calls[[#This Row],[Customer ID]],customers[Customer ID],customers[Age])</f>
        <v>42</v>
      </c>
      <c r="P620" s="22" t="str">
        <f>_xlfn.XLOOKUP(calls[[#This Row],[Customer ID]],customers[Customer ID],customers[City])</f>
        <v>Cleveland</v>
      </c>
    </row>
    <row r="621" spans="2:16" x14ac:dyDescent="0.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s="22" t="str">
        <f>IF(calls[[#This Row],[Rating rounded]]&gt;=4,"Happy")</f>
        <v>Happy</v>
      </c>
      <c r="N621" s="22" t="str">
        <f>_xlfn.XLOOKUP(calls[[#This Row],[Customer ID]],customers[Customer ID],customers[Gedner])</f>
        <v>Male</v>
      </c>
      <c r="O621" s="22">
        <f>_xlfn.XLOOKUP(calls[[#This Row],[Customer ID]],customers[Customer ID],customers[Age])</f>
        <v>36</v>
      </c>
      <c r="P621" s="22" t="str">
        <f>_xlfn.XLOOKUP(calls[[#This Row],[Customer ID]],customers[Customer ID],customers[City])</f>
        <v>Cincinnati</v>
      </c>
    </row>
    <row r="622" spans="2:16" x14ac:dyDescent="0.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s="22" t="str">
        <f>IF(calls[[#This Row],[Rating rounded]]&gt;=4,"Happy")</f>
        <v>Happy</v>
      </c>
      <c r="N622" s="22" t="str">
        <f>_xlfn.XLOOKUP(calls[[#This Row],[Customer ID]],customers[Customer ID],customers[Gedner])</f>
        <v>Female</v>
      </c>
      <c r="O622" s="22">
        <f>_xlfn.XLOOKUP(calls[[#This Row],[Customer ID]],customers[Customer ID],customers[Age])</f>
        <v>37</v>
      </c>
      <c r="P622" s="22" t="str">
        <f>_xlfn.XLOOKUP(calls[[#This Row],[Customer ID]],customers[Customer ID],customers[City])</f>
        <v>Cleveland</v>
      </c>
    </row>
    <row r="623" spans="2:16" x14ac:dyDescent="0.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s="22" t="str">
        <f>IF(calls[[#This Row],[Rating rounded]]&gt;=4,"Happy")</f>
        <v>Happy</v>
      </c>
      <c r="N623" s="22" t="str">
        <f>_xlfn.XLOOKUP(calls[[#This Row],[Customer ID]],customers[Customer ID],customers[Gedner])</f>
        <v>Male</v>
      </c>
      <c r="O623" s="22">
        <f>_xlfn.XLOOKUP(calls[[#This Row],[Customer ID]],customers[Customer ID],customers[Age])</f>
        <v>37</v>
      </c>
      <c r="P623" s="22" t="str">
        <f>_xlfn.XLOOKUP(calls[[#This Row],[Customer ID]],customers[Customer ID],customers[City])</f>
        <v>Columbus</v>
      </c>
    </row>
    <row r="624" spans="2:16" x14ac:dyDescent="0.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s="22" t="str">
        <f>IF(calls[[#This Row],[Rating rounded]]&gt;=4,"Happy")</f>
        <v>Happy</v>
      </c>
      <c r="N624" s="22" t="str">
        <f>_xlfn.XLOOKUP(calls[[#This Row],[Customer ID]],customers[Customer ID],customers[Gedner])</f>
        <v>Male</v>
      </c>
      <c r="O624" s="22">
        <f>_xlfn.XLOOKUP(calls[[#This Row],[Customer ID]],customers[Customer ID],customers[Age])</f>
        <v>36</v>
      </c>
      <c r="P624" s="22" t="str">
        <f>_xlfn.XLOOKUP(calls[[#This Row],[Customer ID]],customers[Customer ID],customers[City])</f>
        <v>Cincinnati</v>
      </c>
    </row>
    <row r="625" spans="2:16" x14ac:dyDescent="0.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s="22" t="str">
        <f>IF(calls[[#This Row],[Rating rounded]]&gt;=4,"Happy")</f>
        <v>Happy</v>
      </c>
      <c r="N625" s="22" t="str">
        <f>_xlfn.XLOOKUP(calls[[#This Row],[Customer ID]],customers[Customer ID],customers[Gedner])</f>
        <v>Male</v>
      </c>
      <c r="O625" s="22">
        <f>_xlfn.XLOOKUP(calls[[#This Row],[Customer ID]],customers[Customer ID],customers[Age])</f>
        <v>26</v>
      </c>
      <c r="P625" s="22" t="str">
        <f>_xlfn.XLOOKUP(calls[[#This Row],[Customer ID]],customers[Customer ID],customers[City])</f>
        <v>Cincinnati</v>
      </c>
    </row>
    <row r="626" spans="2:16" x14ac:dyDescent="0.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s="22" t="b">
        <f>IF(calls[[#This Row],[Rating rounded]]&gt;=4,"Happy")</f>
        <v>0</v>
      </c>
      <c r="N626" s="22" t="str">
        <f>_xlfn.XLOOKUP(calls[[#This Row],[Customer ID]],customers[Customer ID],customers[Gedner])</f>
        <v>Male</v>
      </c>
      <c r="O626" s="22">
        <f>_xlfn.XLOOKUP(calls[[#This Row],[Customer ID]],customers[Customer ID],customers[Age])</f>
        <v>41</v>
      </c>
      <c r="P626" s="22" t="str">
        <f>_xlfn.XLOOKUP(calls[[#This Row],[Customer ID]],customers[Customer ID],customers[City])</f>
        <v>Columbus</v>
      </c>
    </row>
    <row r="627" spans="2:16" x14ac:dyDescent="0.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s="22" t="b">
        <f>IF(calls[[#This Row],[Rating rounded]]&gt;=4,"Happy")</f>
        <v>0</v>
      </c>
      <c r="N627" s="22" t="str">
        <f>_xlfn.XLOOKUP(calls[[#This Row],[Customer ID]],customers[Customer ID],customers[Gedner])</f>
        <v>Female</v>
      </c>
      <c r="O627" s="22">
        <f>_xlfn.XLOOKUP(calls[[#This Row],[Customer ID]],customers[Customer ID],customers[Age])</f>
        <v>25</v>
      </c>
      <c r="P627" s="22" t="str">
        <f>_xlfn.XLOOKUP(calls[[#This Row],[Customer ID]],customers[Customer ID],customers[City])</f>
        <v>Columbus</v>
      </c>
    </row>
    <row r="628" spans="2:16" x14ac:dyDescent="0.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s="22" t="str">
        <f>IF(calls[[#This Row],[Rating rounded]]&gt;=4,"Happy")</f>
        <v>Happy</v>
      </c>
      <c r="N628" s="22" t="str">
        <f>_xlfn.XLOOKUP(calls[[#This Row],[Customer ID]],customers[Customer ID],customers[Gedner])</f>
        <v>Female</v>
      </c>
      <c r="O628" s="22">
        <f>_xlfn.XLOOKUP(calls[[#This Row],[Customer ID]],customers[Customer ID],customers[Age])</f>
        <v>28</v>
      </c>
      <c r="P628" s="22" t="str">
        <f>_xlfn.XLOOKUP(calls[[#This Row],[Customer ID]],customers[Customer ID],customers[City])</f>
        <v>Cincinnati</v>
      </c>
    </row>
    <row r="629" spans="2:16" x14ac:dyDescent="0.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s="22" t="str">
        <f>IF(calls[[#This Row],[Rating rounded]]&gt;=4,"Happy")</f>
        <v>Happy</v>
      </c>
      <c r="N629" s="22" t="str">
        <f>_xlfn.XLOOKUP(calls[[#This Row],[Customer ID]],customers[Customer ID],customers[Gedner])</f>
        <v>Male</v>
      </c>
      <c r="O629" s="22">
        <f>_xlfn.XLOOKUP(calls[[#This Row],[Customer ID]],customers[Customer ID],customers[Age])</f>
        <v>26</v>
      </c>
      <c r="P629" s="22" t="str">
        <f>_xlfn.XLOOKUP(calls[[#This Row],[Customer ID]],customers[Customer ID],customers[City])</f>
        <v>Cincinnati</v>
      </c>
    </row>
    <row r="630" spans="2:16" x14ac:dyDescent="0.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s="22" t="b">
        <f>IF(calls[[#This Row],[Rating rounded]]&gt;=4,"Happy")</f>
        <v>0</v>
      </c>
      <c r="N630" s="22" t="str">
        <f>_xlfn.XLOOKUP(calls[[#This Row],[Customer ID]],customers[Customer ID],customers[Gedner])</f>
        <v>Male</v>
      </c>
      <c r="O630" s="22">
        <f>_xlfn.XLOOKUP(calls[[#This Row],[Customer ID]],customers[Customer ID],customers[Age])</f>
        <v>36</v>
      </c>
      <c r="P630" s="22" t="str">
        <f>_xlfn.XLOOKUP(calls[[#This Row],[Customer ID]],customers[Customer ID],customers[City])</f>
        <v>Cincinnati</v>
      </c>
    </row>
    <row r="631" spans="2:16" x14ac:dyDescent="0.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s="22" t="b">
        <f>IF(calls[[#This Row],[Rating rounded]]&gt;=4,"Happy")</f>
        <v>0</v>
      </c>
      <c r="N631" s="22" t="str">
        <f>_xlfn.XLOOKUP(calls[[#This Row],[Customer ID]],customers[Customer ID],customers[Gedner])</f>
        <v>Female</v>
      </c>
      <c r="O631" s="22">
        <f>_xlfn.XLOOKUP(calls[[#This Row],[Customer ID]],customers[Customer ID],customers[Age])</f>
        <v>42</v>
      </c>
      <c r="P631" s="22" t="str">
        <f>_xlfn.XLOOKUP(calls[[#This Row],[Customer ID]],customers[Customer ID],customers[City])</f>
        <v>Cleveland</v>
      </c>
    </row>
    <row r="632" spans="2:16" x14ac:dyDescent="0.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s="22" t="str">
        <f>IF(calls[[#This Row],[Rating rounded]]&gt;=4,"Happy")</f>
        <v>Happy</v>
      </c>
      <c r="N632" s="22" t="str">
        <f>_xlfn.XLOOKUP(calls[[#This Row],[Customer ID]],customers[Customer ID],customers[Gedner])</f>
        <v>Female</v>
      </c>
      <c r="O632" s="22">
        <f>_xlfn.XLOOKUP(calls[[#This Row],[Customer ID]],customers[Customer ID],customers[Age])</f>
        <v>25</v>
      </c>
      <c r="P632" s="22" t="str">
        <f>_xlfn.XLOOKUP(calls[[#This Row],[Customer ID]],customers[Customer ID],customers[City])</f>
        <v>Columbus</v>
      </c>
    </row>
    <row r="633" spans="2:16" x14ac:dyDescent="0.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s="22" t="str">
        <f>IF(calls[[#This Row],[Rating rounded]]&gt;=4,"Happy")</f>
        <v>Happy</v>
      </c>
      <c r="N633" s="22" t="str">
        <f>_xlfn.XLOOKUP(calls[[#This Row],[Customer ID]],customers[Customer ID],customers[Gedner])</f>
        <v>Male</v>
      </c>
      <c r="O633" s="22">
        <f>_xlfn.XLOOKUP(calls[[#This Row],[Customer ID]],customers[Customer ID],customers[Age])</f>
        <v>36</v>
      </c>
      <c r="P633" s="22" t="str">
        <f>_xlfn.XLOOKUP(calls[[#This Row],[Customer ID]],customers[Customer ID],customers[City])</f>
        <v>Cincinnati</v>
      </c>
    </row>
    <row r="634" spans="2:16" x14ac:dyDescent="0.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s="22" t="b">
        <f>IF(calls[[#This Row],[Rating rounded]]&gt;=4,"Happy")</f>
        <v>0</v>
      </c>
      <c r="N634" s="22" t="str">
        <f>_xlfn.XLOOKUP(calls[[#This Row],[Customer ID]],customers[Customer ID],customers[Gedner])</f>
        <v>Male</v>
      </c>
      <c r="O634" s="22">
        <f>_xlfn.XLOOKUP(calls[[#This Row],[Customer ID]],customers[Customer ID],customers[Age])</f>
        <v>36</v>
      </c>
      <c r="P634" s="22" t="str">
        <f>_xlfn.XLOOKUP(calls[[#This Row],[Customer ID]],customers[Customer ID],customers[City])</f>
        <v>Cincinnati</v>
      </c>
    </row>
    <row r="635" spans="2:16" x14ac:dyDescent="0.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s="22" t="b">
        <f>IF(calls[[#This Row],[Rating rounded]]&gt;=4,"Happy")</f>
        <v>0</v>
      </c>
      <c r="N635" s="22" t="str">
        <f>_xlfn.XLOOKUP(calls[[#This Row],[Customer ID]],customers[Customer ID],customers[Gedner])</f>
        <v>Female</v>
      </c>
      <c r="O635" s="22">
        <f>_xlfn.XLOOKUP(calls[[#This Row],[Customer ID]],customers[Customer ID],customers[Age])</f>
        <v>25</v>
      </c>
      <c r="P635" s="22" t="str">
        <f>_xlfn.XLOOKUP(calls[[#This Row],[Customer ID]],customers[Customer ID],customers[City])</f>
        <v>Columbus</v>
      </c>
    </row>
    <row r="636" spans="2:16" x14ac:dyDescent="0.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s="22" t="b">
        <f>IF(calls[[#This Row],[Rating rounded]]&gt;=4,"Happy")</f>
        <v>0</v>
      </c>
      <c r="N636" s="22" t="str">
        <f>_xlfn.XLOOKUP(calls[[#This Row],[Customer ID]],customers[Customer ID],customers[Gedner])</f>
        <v>Female</v>
      </c>
      <c r="O636" s="22">
        <f>_xlfn.XLOOKUP(calls[[#This Row],[Customer ID]],customers[Customer ID],customers[Age])</f>
        <v>38</v>
      </c>
      <c r="P636" s="22" t="str">
        <f>_xlfn.XLOOKUP(calls[[#This Row],[Customer ID]],customers[Customer ID],customers[City])</f>
        <v>Columbus</v>
      </c>
    </row>
    <row r="637" spans="2:16" x14ac:dyDescent="0.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s="22" t="b">
        <f>IF(calls[[#This Row],[Rating rounded]]&gt;=4,"Happy")</f>
        <v>0</v>
      </c>
      <c r="N637" s="22" t="str">
        <f>_xlfn.XLOOKUP(calls[[#This Row],[Customer ID]],customers[Customer ID],customers[Gedner])</f>
        <v>Female</v>
      </c>
      <c r="O637" s="22">
        <f>_xlfn.XLOOKUP(calls[[#This Row],[Customer ID]],customers[Customer ID],customers[Age])</f>
        <v>38</v>
      </c>
      <c r="P637" s="22" t="str">
        <f>_xlfn.XLOOKUP(calls[[#This Row],[Customer ID]],customers[Customer ID],customers[City])</f>
        <v>Columbus</v>
      </c>
    </row>
    <row r="638" spans="2:16" x14ac:dyDescent="0.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s="22" t="str">
        <f>IF(calls[[#This Row],[Rating rounded]]&gt;=4,"Happy")</f>
        <v>Happy</v>
      </c>
      <c r="N638" s="22" t="str">
        <f>_xlfn.XLOOKUP(calls[[#This Row],[Customer ID]],customers[Customer ID],customers[Gedner])</f>
        <v>Female</v>
      </c>
      <c r="O638" s="22">
        <f>_xlfn.XLOOKUP(calls[[#This Row],[Customer ID]],customers[Customer ID],customers[Age])</f>
        <v>30</v>
      </c>
      <c r="P638" s="22" t="str">
        <f>_xlfn.XLOOKUP(calls[[#This Row],[Customer ID]],customers[Customer ID],customers[City])</f>
        <v>Cincinnati</v>
      </c>
    </row>
    <row r="639" spans="2:16" x14ac:dyDescent="0.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s="22" t="str">
        <f>IF(calls[[#This Row],[Rating rounded]]&gt;=4,"Happy")</f>
        <v>Happy</v>
      </c>
      <c r="N639" s="22" t="str">
        <f>_xlfn.XLOOKUP(calls[[#This Row],[Customer ID]],customers[Customer ID],customers[Gedner])</f>
        <v>Female</v>
      </c>
      <c r="O639" s="22">
        <f>_xlfn.XLOOKUP(calls[[#This Row],[Customer ID]],customers[Customer ID],customers[Age])</f>
        <v>25</v>
      </c>
      <c r="P639" s="22" t="str">
        <f>_xlfn.XLOOKUP(calls[[#This Row],[Customer ID]],customers[Customer ID],customers[City])</f>
        <v>Columbus</v>
      </c>
    </row>
    <row r="640" spans="2:16" x14ac:dyDescent="0.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s="22" t="str">
        <f>IF(calls[[#This Row],[Rating rounded]]&gt;=4,"Happy")</f>
        <v>Happy</v>
      </c>
      <c r="N640" s="22" t="str">
        <f>_xlfn.XLOOKUP(calls[[#This Row],[Customer ID]],customers[Customer ID],customers[Gedner])</f>
        <v>Female</v>
      </c>
      <c r="O640" s="22">
        <f>_xlfn.XLOOKUP(calls[[#This Row],[Customer ID]],customers[Customer ID],customers[Age])</f>
        <v>38</v>
      </c>
      <c r="P640" s="22" t="str">
        <f>_xlfn.XLOOKUP(calls[[#This Row],[Customer ID]],customers[Customer ID],customers[City])</f>
        <v>Columbus</v>
      </c>
    </row>
    <row r="641" spans="2:16" x14ac:dyDescent="0.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s="22" t="str">
        <f>IF(calls[[#This Row],[Rating rounded]]&gt;=4,"Happy")</f>
        <v>Happy</v>
      </c>
      <c r="N641" s="22" t="str">
        <f>_xlfn.XLOOKUP(calls[[#This Row],[Customer ID]],customers[Customer ID],customers[Gedner])</f>
        <v>Female</v>
      </c>
      <c r="O641" s="22">
        <f>_xlfn.XLOOKUP(calls[[#This Row],[Customer ID]],customers[Customer ID],customers[Age])</f>
        <v>43</v>
      </c>
      <c r="P641" s="22" t="str">
        <f>_xlfn.XLOOKUP(calls[[#This Row],[Customer ID]],customers[Customer ID],customers[City])</f>
        <v>Cleveland</v>
      </c>
    </row>
    <row r="642" spans="2:16" x14ac:dyDescent="0.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s="22" t="str">
        <f>IF(calls[[#This Row],[Rating rounded]]&gt;=4,"Happy")</f>
        <v>Happy</v>
      </c>
      <c r="N642" s="22" t="str">
        <f>_xlfn.XLOOKUP(calls[[#This Row],[Customer ID]],customers[Customer ID],customers[Gedner])</f>
        <v>Male</v>
      </c>
      <c r="O642" s="22">
        <f>_xlfn.XLOOKUP(calls[[#This Row],[Customer ID]],customers[Customer ID],customers[Age])</f>
        <v>36</v>
      </c>
      <c r="P642" s="22" t="str">
        <f>_xlfn.XLOOKUP(calls[[#This Row],[Customer ID]],customers[Customer ID],customers[City])</f>
        <v>Cincinnati</v>
      </c>
    </row>
    <row r="643" spans="2:16" x14ac:dyDescent="0.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s="22" t="b">
        <f>IF(calls[[#This Row],[Rating rounded]]&gt;=4,"Happy")</f>
        <v>0</v>
      </c>
      <c r="N643" s="22" t="str">
        <f>_xlfn.XLOOKUP(calls[[#This Row],[Customer ID]],customers[Customer ID],customers[Gedner])</f>
        <v>Female</v>
      </c>
      <c r="O643" s="22">
        <f>_xlfn.XLOOKUP(calls[[#This Row],[Customer ID]],customers[Customer ID],customers[Age])</f>
        <v>25</v>
      </c>
      <c r="P643" s="22" t="str">
        <f>_xlfn.XLOOKUP(calls[[#This Row],[Customer ID]],customers[Customer ID],customers[City])</f>
        <v>Columbus</v>
      </c>
    </row>
    <row r="644" spans="2:16" x14ac:dyDescent="0.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s="22" t="b">
        <f>IF(calls[[#This Row],[Rating rounded]]&gt;=4,"Happy")</f>
        <v>0</v>
      </c>
      <c r="N644" s="22" t="str">
        <f>_xlfn.XLOOKUP(calls[[#This Row],[Customer ID]],customers[Customer ID],customers[Gedner])</f>
        <v>Female</v>
      </c>
      <c r="O644" s="22">
        <f>_xlfn.XLOOKUP(calls[[#This Row],[Customer ID]],customers[Customer ID],customers[Age])</f>
        <v>28</v>
      </c>
      <c r="P644" s="22" t="str">
        <f>_xlfn.XLOOKUP(calls[[#This Row],[Customer ID]],customers[Customer ID],customers[City])</f>
        <v>Cincinnati</v>
      </c>
    </row>
    <row r="645" spans="2:16" x14ac:dyDescent="0.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s="22" t="str">
        <f>IF(calls[[#This Row],[Rating rounded]]&gt;=4,"Happy")</f>
        <v>Happy</v>
      </c>
      <c r="N645" s="22" t="str">
        <f>_xlfn.XLOOKUP(calls[[#This Row],[Customer ID]],customers[Customer ID],customers[Gedner])</f>
        <v>Male</v>
      </c>
      <c r="O645" s="22">
        <f>_xlfn.XLOOKUP(calls[[#This Row],[Customer ID]],customers[Customer ID],customers[Age])</f>
        <v>26</v>
      </c>
      <c r="P645" s="22" t="str">
        <f>_xlfn.XLOOKUP(calls[[#This Row],[Customer ID]],customers[Customer ID],customers[City])</f>
        <v>Cincinnati</v>
      </c>
    </row>
    <row r="646" spans="2:16" x14ac:dyDescent="0.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s="22" t="str">
        <f>IF(calls[[#This Row],[Rating rounded]]&gt;=4,"Happy")</f>
        <v>Happy</v>
      </c>
      <c r="N646" s="22" t="str">
        <f>_xlfn.XLOOKUP(calls[[#This Row],[Customer ID]],customers[Customer ID],customers[Gedner])</f>
        <v>Male</v>
      </c>
      <c r="O646" s="22">
        <f>_xlfn.XLOOKUP(calls[[#This Row],[Customer ID]],customers[Customer ID],customers[Age])</f>
        <v>37</v>
      </c>
      <c r="P646" s="22" t="str">
        <f>_xlfn.XLOOKUP(calls[[#This Row],[Customer ID]],customers[Customer ID],customers[City])</f>
        <v>Columbus</v>
      </c>
    </row>
    <row r="647" spans="2:16" x14ac:dyDescent="0.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s="22" t="b">
        <f>IF(calls[[#This Row],[Rating rounded]]&gt;=4,"Happy")</f>
        <v>0</v>
      </c>
      <c r="N647" s="22" t="str">
        <f>_xlfn.XLOOKUP(calls[[#This Row],[Customer ID]],customers[Customer ID],customers[Gedner])</f>
        <v>Male</v>
      </c>
      <c r="O647" s="22">
        <f>_xlfn.XLOOKUP(calls[[#This Row],[Customer ID]],customers[Customer ID],customers[Age])</f>
        <v>26</v>
      </c>
      <c r="P647" s="22" t="str">
        <f>_xlfn.XLOOKUP(calls[[#This Row],[Customer ID]],customers[Customer ID],customers[City])</f>
        <v>Cincinnati</v>
      </c>
    </row>
    <row r="648" spans="2:16" x14ac:dyDescent="0.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s="22" t="str">
        <f>IF(calls[[#This Row],[Rating rounded]]&gt;=4,"Happy")</f>
        <v>Happy</v>
      </c>
      <c r="N648" s="22" t="str">
        <f>_xlfn.XLOOKUP(calls[[#This Row],[Customer ID]],customers[Customer ID],customers[Gedner])</f>
        <v>Male</v>
      </c>
      <c r="O648" s="22">
        <f>_xlfn.XLOOKUP(calls[[#This Row],[Customer ID]],customers[Customer ID],customers[Age])</f>
        <v>41</v>
      </c>
      <c r="P648" s="22" t="str">
        <f>_xlfn.XLOOKUP(calls[[#This Row],[Customer ID]],customers[Customer ID],customers[City])</f>
        <v>Columbus</v>
      </c>
    </row>
    <row r="649" spans="2:16" x14ac:dyDescent="0.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s="22" t="b">
        <f>IF(calls[[#This Row],[Rating rounded]]&gt;=4,"Happy")</f>
        <v>0</v>
      </c>
      <c r="N649" s="22" t="str">
        <f>_xlfn.XLOOKUP(calls[[#This Row],[Customer ID]],customers[Customer ID],customers[Gedner])</f>
        <v>Male</v>
      </c>
      <c r="O649" s="22">
        <f>_xlfn.XLOOKUP(calls[[#This Row],[Customer ID]],customers[Customer ID],customers[Age])</f>
        <v>31</v>
      </c>
      <c r="P649" s="22" t="str">
        <f>_xlfn.XLOOKUP(calls[[#This Row],[Customer ID]],customers[Customer ID],customers[City])</f>
        <v>Cleveland</v>
      </c>
    </row>
    <row r="650" spans="2:16" x14ac:dyDescent="0.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s="22" t="str">
        <f>IF(calls[[#This Row],[Rating rounded]]&gt;=4,"Happy")</f>
        <v>Happy</v>
      </c>
      <c r="N650" s="22" t="str">
        <f>_xlfn.XLOOKUP(calls[[#This Row],[Customer ID]],customers[Customer ID],customers[Gedner])</f>
        <v>Male</v>
      </c>
      <c r="O650" s="22">
        <f>_xlfn.XLOOKUP(calls[[#This Row],[Customer ID]],customers[Customer ID],customers[Age])</f>
        <v>36</v>
      </c>
      <c r="P650" s="22" t="str">
        <f>_xlfn.XLOOKUP(calls[[#This Row],[Customer ID]],customers[Customer ID],customers[City])</f>
        <v>Cincinnati</v>
      </c>
    </row>
    <row r="651" spans="2:16" x14ac:dyDescent="0.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s="22" t="b">
        <f>IF(calls[[#This Row],[Rating rounded]]&gt;=4,"Happy")</f>
        <v>0</v>
      </c>
      <c r="N651" s="22" t="str">
        <f>_xlfn.XLOOKUP(calls[[#This Row],[Customer ID]],customers[Customer ID],customers[Gedner])</f>
        <v>Male</v>
      </c>
      <c r="O651" s="22">
        <f>_xlfn.XLOOKUP(calls[[#This Row],[Customer ID]],customers[Customer ID],customers[Age])</f>
        <v>41</v>
      </c>
      <c r="P651" s="22" t="str">
        <f>_xlfn.XLOOKUP(calls[[#This Row],[Customer ID]],customers[Customer ID],customers[City])</f>
        <v>Columbus</v>
      </c>
    </row>
    <row r="652" spans="2:16" x14ac:dyDescent="0.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s="22" t="str">
        <f>IF(calls[[#This Row],[Rating rounded]]&gt;=4,"Happy")</f>
        <v>Happy</v>
      </c>
      <c r="N652" s="22" t="str">
        <f>_xlfn.XLOOKUP(calls[[#This Row],[Customer ID]],customers[Customer ID],customers[Gedner])</f>
        <v>Female</v>
      </c>
      <c r="O652" s="22">
        <f>_xlfn.XLOOKUP(calls[[#This Row],[Customer ID]],customers[Customer ID],customers[Age])</f>
        <v>42</v>
      </c>
      <c r="P652" s="22" t="str">
        <f>_xlfn.XLOOKUP(calls[[#This Row],[Customer ID]],customers[Customer ID],customers[City])</f>
        <v>Cleveland</v>
      </c>
    </row>
    <row r="653" spans="2:16" x14ac:dyDescent="0.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s="22" t="str">
        <f>IF(calls[[#This Row],[Rating rounded]]&gt;=4,"Happy")</f>
        <v>Happy</v>
      </c>
      <c r="N653" s="22" t="str">
        <f>_xlfn.XLOOKUP(calls[[#This Row],[Customer ID]],customers[Customer ID],customers[Gedner])</f>
        <v>Female</v>
      </c>
      <c r="O653" s="22">
        <f>_xlfn.XLOOKUP(calls[[#This Row],[Customer ID]],customers[Customer ID],customers[Age])</f>
        <v>28</v>
      </c>
      <c r="P653" s="22" t="str">
        <f>_xlfn.XLOOKUP(calls[[#This Row],[Customer ID]],customers[Customer ID],customers[City])</f>
        <v>Cincinnati</v>
      </c>
    </row>
    <row r="654" spans="2:16" x14ac:dyDescent="0.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s="22" t="str">
        <f>IF(calls[[#This Row],[Rating rounded]]&gt;=4,"Happy")</f>
        <v>Happy</v>
      </c>
      <c r="N654" s="22" t="str">
        <f>_xlfn.XLOOKUP(calls[[#This Row],[Customer ID]],customers[Customer ID],customers[Gedner])</f>
        <v>Female</v>
      </c>
      <c r="O654" s="22">
        <f>_xlfn.XLOOKUP(calls[[#This Row],[Customer ID]],customers[Customer ID],customers[Age])</f>
        <v>22</v>
      </c>
      <c r="P654" s="22" t="str">
        <f>_xlfn.XLOOKUP(calls[[#This Row],[Customer ID]],customers[Customer ID],customers[City])</f>
        <v>Cleveland</v>
      </c>
    </row>
    <row r="655" spans="2:16" x14ac:dyDescent="0.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s="22" t="str">
        <f>IF(calls[[#This Row],[Rating rounded]]&gt;=4,"Happy")</f>
        <v>Happy</v>
      </c>
      <c r="N655" s="22" t="str">
        <f>_xlfn.XLOOKUP(calls[[#This Row],[Customer ID]],customers[Customer ID],customers[Gedner])</f>
        <v>Male</v>
      </c>
      <c r="O655" s="22">
        <f>_xlfn.XLOOKUP(calls[[#This Row],[Customer ID]],customers[Customer ID],customers[Age])</f>
        <v>41</v>
      </c>
      <c r="P655" s="22" t="str">
        <f>_xlfn.XLOOKUP(calls[[#This Row],[Customer ID]],customers[Customer ID],customers[City])</f>
        <v>Columbus</v>
      </c>
    </row>
    <row r="656" spans="2:16" x14ac:dyDescent="0.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s="22" t="str">
        <f>IF(calls[[#This Row],[Rating rounded]]&gt;=4,"Happy")</f>
        <v>Happy</v>
      </c>
      <c r="N656" s="22" t="str">
        <f>_xlfn.XLOOKUP(calls[[#This Row],[Customer ID]],customers[Customer ID],customers[Gedner])</f>
        <v>Male</v>
      </c>
      <c r="O656" s="22">
        <f>_xlfn.XLOOKUP(calls[[#This Row],[Customer ID]],customers[Customer ID],customers[Age])</f>
        <v>23</v>
      </c>
      <c r="P656" s="22" t="str">
        <f>_xlfn.XLOOKUP(calls[[#This Row],[Customer ID]],customers[Customer ID],customers[City])</f>
        <v>Columbus</v>
      </c>
    </row>
    <row r="657" spans="2:16" x14ac:dyDescent="0.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s="22" t="str">
        <f>IF(calls[[#This Row],[Rating rounded]]&gt;=4,"Happy")</f>
        <v>Happy</v>
      </c>
      <c r="N657" s="22" t="str">
        <f>_xlfn.XLOOKUP(calls[[#This Row],[Customer ID]],customers[Customer ID],customers[Gedner])</f>
        <v>Female</v>
      </c>
      <c r="O657" s="22">
        <f>_xlfn.XLOOKUP(calls[[#This Row],[Customer ID]],customers[Customer ID],customers[Age])</f>
        <v>28</v>
      </c>
      <c r="P657" s="22" t="str">
        <f>_xlfn.XLOOKUP(calls[[#This Row],[Customer ID]],customers[Customer ID],customers[City])</f>
        <v>Cincinnati</v>
      </c>
    </row>
    <row r="658" spans="2:16" x14ac:dyDescent="0.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s="22" t="b">
        <f>IF(calls[[#This Row],[Rating rounded]]&gt;=4,"Happy")</f>
        <v>0</v>
      </c>
      <c r="N658" s="22" t="str">
        <f>_xlfn.XLOOKUP(calls[[#This Row],[Customer ID]],customers[Customer ID],customers[Gedner])</f>
        <v>Female</v>
      </c>
      <c r="O658" s="22">
        <f>_xlfn.XLOOKUP(calls[[#This Row],[Customer ID]],customers[Customer ID],customers[Age])</f>
        <v>30</v>
      </c>
      <c r="P658" s="22" t="str">
        <f>_xlfn.XLOOKUP(calls[[#This Row],[Customer ID]],customers[Customer ID],customers[City])</f>
        <v>Cleveland</v>
      </c>
    </row>
    <row r="659" spans="2:16" x14ac:dyDescent="0.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s="22" t="b">
        <f>IF(calls[[#This Row],[Rating rounded]]&gt;=4,"Happy")</f>
        <v>0</v>
      </c>
      <c r="N659" s="22" t="str">
        <f>_xlfn.XLOOKUP(calls[[#This Row],[Customer ID]],customers[Customer ID],customers[Gedner])</f>
        <v>Female</v>
      </c>
      <c r="O659" s="22">
        <f>_xlfn.XLOOKUP(calls[[#This Row],[Customer ID]],customers[Customer ID],customers[Age])</f>
        <v>37</v>
      </c>
      <c r="P659" s="22" t="str">
        <f>_xlfn.XLOOKUP(calls[[#This Row],[Customer ID]],customers[Customer ID],customers[City])</f>
        <v>Cleveland</v>
      </c>
    </row>
    <row r="660" spans="2:16" x14ac:dyDescent="0.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s="22" t="str">
        <f>IF(calls[[#This Row],[Rating rounded]]&gt;=4,"Happy")</f>
        <v>Happy</v>
      </c>
      <c r="N660" s="22" t="str">
        <f>_xlfn.XLOOKUP(calls[[#This Row],[Customer ID]],customers[Customer ID],customers[Gedner])</f>
        <v>Male</v>
      </c>
      <c r="O660" s="22">
        <f>_xlfn.XLOOKUP(calls[[#This Row],[Customer ID]],customers[Customer ID],customers[Age])</f>
        <v>37</v>
      </c>
      <c r="P660" s="22" t="str">
        <f>_xlfn.XLOOKUP(calls[[#This Row],[Customer ID]],customers[Customer ID],customers[City])</f>
        <v>Columbus</v>
      </c>
    </row>
    <row r="661" spans="2:16" x14ac:dyDescent="0.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s="22" t="str">
        <f>IF(calls[[#This Row],[Rating rounded]]&gt;=4,"Happy")</f>
        <v>Happy</v>
      </c>
      <c r="N661" s="22" t="str">
        <f>_xlfn.XLOOKUP(calls[[#This Row],[Customer ID]],customers[Customer ID],customers[Gedner])</f>
        <v>Female</v>
      </c>
      <c r="O661" s="22">
        <f>_xlfn.XLOOKUP(calls[[#This Row],[Customer ID]],customers[Customer ID],customers[Age])</f>
        <v>37</v>
      </c>
      <c r="P661" s="22" t="str">
        <f>_xlfn.XLOOKUP(calls[[#This Row],[Customer ID]],customers[Customer ID],customers[City])</f>
        <v>Cleveland</v>
      </c>
    </row>
    <row r="662" spans="2:16" x14ac:dyDescent="0.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s="22" t="str">
        <f>IF(calls[[#This Row],[Rating rounded]]&gt;=4,"Happy")</f>
        <v>Happy</v>
      </c>
      <c r="N662" s="22" t="str">
        <f>_xlfn.XLOOKUP(calls[[#This Row],[Customer ID]],customers[Customer ID],customers[Gedner])</f>
        <v>Female</v>
      </c>
      <c r="O662" s="22">
        <f>_xlfn.XLOOKUP(calls[[#This Row],[Customer ID]],customers[Customer ID],customers[Age])</f>
        <v>22</v>
      </c>
      <c r="P662" s="22" t="str">
        <f>_xlfn.XLOOKUP(calls[[#This Row],[Customer ID]],customers[Customer ID],customers[City])</f>
        <v>Cleveland</v>
      </c>
    </row>
    <row r="663" spans="2:16" x14ac:dyDescent="0.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s="22" t="str">
        <f>IF(calls[[#This Row],[Rating rounded]]&gt;=4,"Happy")</f>
        <v>Happy</v>
      </c>
      <c r="N663" s="22" t="str">
        <f>_xlfn.XLOOKUP(calls[[#This Row],[Customer ID]],customers[Customer ID],customers[Gedner])</f>
        <v>Female</v>
      </c>
      <c r="O663" s="22">
        <f>_xlfn.XLOOKUP(calls[[#This Row],[Customer ID]],customers[Customer ID],customers[Age])</f>
        <v>28</v>
      </c>
      <c r="P663" s="22" t="str">
        <f>_xlfn.XLOOKUP(calls[[#This Row],[Customer ID]],customers[Customer ID],customers[City])</f>
        <v>Cincinnati</v>
      </c>
    </row>
    <row r="664" spans="2:16" x14ac:dyDescent="0.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s="22" t="b">
        <f>IF(calls[[#This Row],[Rating rounded]]&gt;=4,"Happy")</f>
        <v>0</v>
      </c>
      <c r="N664" s="22" t="str">
        <f>_xlfn.XLOOKUP(calls[[#This Row],[Customer ID]],customers[Customer ID],customers[Gedner])</f>
        <v>Female</v>
      </c>
      <c r="O664" s="22">
        <f>_xlfn.XLOOKUP(calls[[#This Row],[Customer ID]],customers[Customer ID],customers[Age])</f>
        <v>30</v>
      </c>
      <c r="P664" s="22" t="str">
        <f>_xlfn.XLOOKUP(calls[[#This Row],[Customer ID]],customers[Customer ID],customers[City])</f>
        <v>Cincinnati</v>
      </c>
    </row>
    <row r="665" spans="2:16" x14ac:dyDescent="0.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s="22" t="str">
        <f>IF(calls[[#This Row],[Rating rounded]]&gt;=4,"Happy")</f>
        <v>Happy</v>
      </c>
      <c r="N665" s="22" t="str">
        <f>_xlfn.XLOOKUP(calls[[#This Row],[Customer ID]],customers[Customer ID],customers[Gedner])</f>
        <v>Female</v>
      </c>
      <c r="O665" s="22">
        <f>_xlfn.XLOOKUP(calls[[#This Row],[Customer ID]],customers[Customer ID],customers[Age])</f>
        <v>30</v>
      </c>
      <c r="P665" s="22" t="str">
        <f>_xlfn.XLOOKUP(calls[[#This Row],[Customer ID]],customers[Customer ID],customers[City])</f>
        <v>Cincinnati</v>
      </c>
    </row>
    <row r="666" spans="2:16" x14ac:dyDescent="0.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s="22" t="b">
        <f>IF(calls[[#This Row],[Rating rounded]]&gt;=4,"Happy")</f>
        <v>0</v>
      </c>
      <c r="N666" s="22" t="str">
        <f>_xlfn.XLOOKUP(calls[[#This Row],[Customer ID]],customers[Customer ID],customers[Gedner])</f>
        <v>Male</v>
      </c>
      <c r="O666" s="22">
        <f>_xlfn.XLOOKUP(calls[[#This Row],[Customer ID]],customers[Customer ID],customers[Age])</f>
        <v>36</v>
      </c>
      <c r="P666" s="22" t="str">
        <f>_xlfn.XLOOKUP(calls[[#This Row],[Customer ID]],customers[Customer ID],customers[City])</f>
        <v>Cincinnati</v>
      </c>
    </row>
    <row r="667" spans="2:16" x14ac:dyDescent="0.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s="22" t="str">
        <f>IF(calls[[#This Row],[Rating rounded]]&gt;=4,"Happy")</f>
        <v>Happy</v>
      </c>
      <c r="N667" s="22" t="str">
        <f>_xlfn.XLOOKUP(calls[[#This Row],[Customer ID]],customers[Customer ID],customers[Gedner])</f>
        <v>Female</v>
      </c>
      <c r="O667" s="22">
        <f>_xlfn.XLOOKUP(calls[[#This Row],[Customer ID]],customers[Customer ID],customers[Age])</f>
        <v>43</v>
      </c>
      <c r="P667" s="22" t="str">
        <f>_xlfn.XLOOKUP(calls[[#This Row],[Customer ID]],customers[Customer ID],customers[City])</f>
        <v>Cleveland</v>
      </c>
    </row>
    <row r="668" spans="2:16" x14ac:dyDescent="0.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s="22" t="str">
        <f>IF(calls[[#This Row],[Rating rounded]]&gt;=4,"Happy")</f>
        <v>Happy</v>
      </c>
      <c r="N668" s="22" t="str">
        <f>_xlfn.XLOOKUP(calls[[#This Row],[Customer ID]],customers[Customer ID],customers[Gedner])</f>
        <v>Female</v>
      </c>
      <c r="O668" s="22">
        <f>_xlfn.XLOOKUP(calls[[#This Row],[Customer ID]],customers[Customer ID],customers[Age])</f>
        <v>30</v>
      </c>
      <c r="P668" s="22" t="str">
        <f>_xlfn.XLOOKUP(calls[[#This Row],[Customer ID]],customers[Customer ID],customers[City])</f>
        <v>Cleveland</v>
      </c>
    </row>
    <row r="669" spans="2:16" x14ac:dyDescent="0.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s="22" t="str">
        <f>IF(calls[[#This Row],[Rating rounded]]&gt;=4,"Happy")</f>
        <v>Happy</v>
      </c>
      <c r="N669" s="22" t="str">
        <f>_xlfn.XLOOKUP(calls[[#This Row],[Customer ID]],customers[Customer ID],customers[Gedner])</f>
        <v>Male</v>
      </c>
      <c r="O669" s="22">
        <f>_xlfn.XLOOKUP(calls[[#This Row],[Customer ID]],customers[Customer ID],customers[Age])</f>
        <v>26</v>
      </c>
      <c r="P669" s="22" t="str">
        <f>_xlfn.XLOOKUP(calls[[#This Row],[Customer ID]],customers[Customer ID],customers[City])</f>
        <v>Cincinnati</v>
      </c>
    </row>
    <row r="670" spans="2:16" x14ac:dyDescent="0.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s="22" t="str">
        <f>IF(calls[[#This Row],[Rating rounded]]&gt;=4,"Happy")</f>
        <v>Happy</v>
      </c>
      <c r="N670" s="22" t="str">
        <f>_xlfn.XLOOKUP(calls[[#This Row],[Customer ID]],customers[Customer ID],customers[Gedner])</f>
        <v>Female</v>
      </c>
      <c r="O670" s="22">
        <f>_xlfn.XLOOKUP(calls[[#This Row],[Customer ID]],customers[Customer ID],customers[Age])</f>
        <v>37</v>
      </c>
      <c r="P670" s="22" t="str">
        <f>_xlfn.XLOOKUP(calls[[#This Row],[Customer ID]],customers[Customer ID],customers[City])</f>
        <v>Cleveland</v>
      </c>
    </row>
    <row r="671" spans="2:16" x14ac:dyDescent="0.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s="22" t="str">
        <f>IF(calls[[#This Row],[Rating rounded]]&gt;=4,"Happy")</f>
        <v>Happy</v>
      </c>
      <c r="N671" s="22" t="str">
        <f>_xlfn.XLOOKUP(calls[[#This Row],[Customer ID]],customers[Customer ID],customers[Gedner])</f>
        <v>Male</v>
      </c>
      <c r="O671" s="22">
        <f>_xlfn.XLOOKUP(calls[[#This Row],[Customer ID]],customers[Customer ID],customers[Age])</f>
        <v>23</v>
      </c>
      <c r="P671" s="22" t="str">
        <f>_xlfn.XLOOKUP(calls[[#This Row],[Customer ID]],customers[Customer ID],customers[City])</f>
        <v>Columbus</v>
      </c>
    </row>
    <row r="672" spans="2:16" x14ac:dyDescent="0.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s="22" t="str">
        <f>IF(calls[[#This Row],[Rating rounded]]&gt;=4,"Happy")</f>
        <v>Happy</v>
      </c>
      <c r="N672" s="22" t="str">
        <f>_xlfn.XLOOKUP(calls[[#This Row],[Customer ID]],customers[Customer ID],customers[Gedner])</f>
        <v>Female</v>
      </c>
      <c r="O672" s="22">
        <f>_xlfn.XLOOKUP(calls[[#This Row],[Customer ID]],customers[Customer ID],customers[Age])</f>
        <v>28</v>
      </c>
      <c r="P672" s="22" t="str">
        <f>_xlfn.XLOOKUP(calls[[#This Row],[Customer ID]],customers[Customer ID],customers[City])</f>
        <v>Cincinnati</v>
      </c>
    </row>
    <row r="673" spans="2:16" x14ac:dyDescent="0.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s="22" t="str">
        <f>IF(calls[[#This Row],[Rating rounded]]&gt;=4,"Happy")</f>
        <v>Happy</v>
      </c>
      <c r="N673" s="22" t="str">
        <f>_xlfn.XLOOKUP(calls[[#This Row],[Customer ID]],customers[Customer ID],customers[Gedner])</f>
        <v>Female</v>
      </c>
      <c r="O673" s="22">
        <f>_xlfn.XLOOKUP(calls[[#This Row],[Customer ID]],customers[Customer ID],customers[Age])</f>
        <v>28</v>
      </c>
      <c r="P673" s="22" t="str">
        <f>_xlfn.XLOOKUP(calls[[#This Row],[Customer ID]],customers[Customer ID],customers[City])</f>
        <v>Cincinnati</v>
      </c>
    </row>
    <row r="674" spans="2:16" x14ac:dyDescent="0.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s="22" t="b">
        <f>IF(calls[[#This Row],[Rating rounded]]&gt;=4,"Happy")</f>
        <v>0</v>
      </c>
      <c r="N674" s="22" t="str">
        <f>_xlfn.XLOOKUP(calls[[#This Row],[Customer ID]],customers[Customer ID],customers[Gedner])</f>
        <v>Male</v>
      </c>
      <c r="O674" s="22">
        <f>_xlfn.XLOOKUP(calls[[#This Row],[Customer ID]],customers[Customer ID],customers[Age])</f>
        <v>26</v>
      </c>
      <c r="P674" s="22" t="str">
        <f>_xlfn.XLOOKUP(calls[[#This Row],[Customer ID]],customers[Customer ID],customers[City])</f>
        <v>Cincinnati</v>
      </c>
    </row>
    <row r="675" spans="2:16" x14ac:dyDescent="0.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s="22" t="str">
        <f>IF(calls[[#This Row],[Rating rounded]]&gt;=4,"Happy")</f>
        <v>Happy</v>
      </c>
      <c r="N675" s="22" t="str">
        <f>_xlfn.XLOOKUP(calls[[#This Row],[Customer ID]],customers[Customer ID],customers[Gedner])</f>
        <v>Female</v>
      </c>
      <c r="O675" s="22">
        <f>_xlfn.XLOOKUP(calls[[#This Row],[Customer ID]],customers[Customer ID],customers[Age])</f>
        <v>30</v>
      </c>
      <c r="P675" s="22" t="str">
        <f>_xlfn.XLOOKUP(calls[[#This Row],[Customer ID]],customers[Customer ID],customers[City])</f>
        <v>Cleveland</v>
      </c>
    </row>
    <row r="676" spans="2:16" x14ac:dyDescent="0.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s="22" t="str">
        <f>IF(calls[[#This Row],[Rating rounded]]&gt;=4,"Happy")</f>
        <v>Happy</v>
      </c>
      <c r="N676" s="22" t="str">
        <f>_xlfn.XLOOKUP(calls[[#This Row],[Customer ID]],customers[Customer ID],customers[Gedner])</f>
        <v>Female</v>
      </c>
      <c r="O676" s="22">
        <f>_xlfn.XLOOKUP(calls[[#This Row],[Customer ID]],customers[Customer ID],customers[Age])</f>
        <v>30</v>
      </c>
      <c r="P676" s="22" t="str">
        <f>_xlfn.XLOOKUP(calls[[#This Row],[Customer ID]],customers[Customer ID],customers[City])</f>
        <v>Cincinnati</v>
      </c>
    </row>
    <row r="677" spans="2:16" x14ac:dyDescent="0.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s="22" t="str">
        <f>IF(calls[[#This Row],[Rating rounded]]&gt;=4,"Happy")</f>
        <v>Happy</v>
      </c>
      <c r="N677" s="22" t="str">
        <f>_xlfn.XLOOKUP(calls[[#This Row],[Customer ID]],customers[Customer ID],customers[Gedner])</f>
        <v>Female</v>
      </c>
      <c r="O677" s="22">
        <f>_xlfn.XLOOKUP(calls[[#This Row],[Customer ID]],customers[Customer ID],customers[Age])</f>
        <v>30</v>
      </c>
      <c r="P677" s="22" t="str">
        <f>_xlfn.XLOOKUP(calls[[#This Row],[Customer ID]],customers[Customer ID],customers[City])</f>
        <v>Cleveland</v>
      </c>
    </row>
    <row r="678" spans="2:16" x14ac:dyDescent="0.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s="22" t="b">
        <f>IF(calls[[#This Row],[Rating rounded]]&gt;=4,"Happy")</f>
        <v>0</v>
      </c>
      <c r="N678" s="22" t="str">
        <f>_xlfn.XLOOKUP(calls[[#This Row],[Customer ID]],customers[Customer ID],customers[Gedner])</f>
        <v>Female</v>
      </c>
      <c r="O678" s="22">
        <f>_xlfn.XLOOKUP(calls[[#This Row],[Customer ID]],customers[Customer ID],customers[Age])</f>
        <v>22</v>
      </c>
      <c r="P678" s="22" t="str">
        <f>_xlfn.XLOOKUP(calls[[#This Row],[Customer ID]],customers[Customer ID],customers[City])</f>
        <v>Cleveland</v>
      </c>
    </row>
    <row r="679" spans="2:16" x14ac:dyDescent="0.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s="22" t="b">
        <f>IF(calls[[#This Row],[Rating rounded]]&gt;=4,"Happy")</f>
        <v>0</v>
      </c>
      <c r="N679" s="22" t="str">
        <f>_xlfn.XLOOKUP(calls[[#This Row],[Customer ID]],customers[Customer ID],customers[Gedner])</f>
        <v>Female</v>
      </c>
      <c r="O679" s="22">
        <f>_xlfn.XLOOKUP(calls[[#This Row],[Customer ID]],customers[Customer ID],customers[Age])</f>
        <v>30</v>
      </c>
      <c r="P679" s="22" t="str">
        <f>_xlfn.XLOOKUP(calls[[#This Row],[Customer ID]],customers[Customer ID],customers[City])</f>
        <v>Cincinnati</v>
      </c>
    </row>
    <row r="680" spans="2:16" x14ac:dyDescent="0.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s="22" t="str">
        <f>IF(calls[[#This Row],[Rating rounded]]&gt;=4,"Happy")</f>
        <v>Happy</v>
      </c>
      <c r="N680" s="22" t="str">
        <f>_xlfn.XLOOKUP(calls[[#This Row],[Customer ID]],customers[Customer ID],customers[Gedner])</f>
        <v>Female</v>
      </c>
      <c r="O680" s="22">
        <f>_xlfn.XLOOKUP(calls[[#This Row],[Customer ID]],customers[Customer ID],customers[Age])</f>
        <v>28</v>
      </c>
      <c r="P680" s="22" t="str">
        <f>_xlfn.XLOOKUP(calls[[#This Row],[Customer ID]],customers[Customer ID],customers[City])</f>
        <v>Cincinnati</v>
      </c>
    </row>
    <row r="681" spans="2:16" x14ac:dyDescent="0.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s="22" t="str">
        <f>IF(calls[[#This Row],[Rating rounded]]&gt;=4,"Happy")</f>
        <v>Happy</v>
      </c>
      <c r="N681" s="22" t="str">
        <f>_xlfn.XLOOKUP(calls[[#This Row],[Customer ID]],customers[Customer ID],customers[Gedner])</f>
        <v>Female</v>
      </c>
      <c r="O681" s="22">
        <f>_xlfn.XLOOKUP(calls[[#This Row],[Customer ID]],customers[Customer ID],customers[Age])</f>
        <v>42</v>
      </c>
      <c r="P681" s="22" t="str">
        <f>_xlfn.XLOOKUP(calls[[#This Row],[Customer ID]],customers[Customer ID],customers[City])</f>
        <v>Cleveland</v>
      </c>
    </row>
    <row r="682" spans="2:16" x14ac:dyDescent="0.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s="22" t="str">
        <f>IF(calls[[#This Row],[Rating rounded]]&gt;=4,"Happy")</f>
        <v>Happy</v>
      </c>
      <c r="N682" s="22" t="str">
        <f>_xlfn.XLOOKUP(calls[[#This Row],[Customer ID]],customers[Customer ID],customers[Gedner])</f>
        <v>Male</v>
      </c>
      <c r="O682" s="22">
        <f>_xlfn.XLOOKUP(calls[[#This Row],[Customer ID]],customers[Customer ID],customers[Age])</f>
        <v>31</v>
      </c>
      <c r="P682" s="22" t="str">
        <f>_xlfn.XLOOKUP(calls[[#This Row],[Customer ID]],customers[Customer ID],customers[City])</f>
        <v>Cleveland</v>
      </c>
    </row>
    <row r="683" spans="2:16" x14ac:dyDescent="0.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s="22" t="str">
        <f>IF(calls[[#This Row],[Rating rounded]]&gt;=4,"Happy")</f>
        <v>Happy</v>
      </c>
      <c r="N683" s="22" t="str">
        <f>_xlfn.XLOOKUP(calls[[#This Row],[Customer ID]],customers[Customer ID],customers[Gedner])</f>
        <v>Female</v>
      </c>
      <c r="O683" s="22">
        <f>_xlfn.XLOOKUP(calls[[#This Row],[Customer ID]],customers[Customer ID],customers[Age])</f>
        <v>38</v>
      </c>
      <c r="P683" s="22" t="str">
        <f>_xlfn.XLOOKUP(calls[[#This Row],[Customer ID]],customers[Customer ID],customers[City])</f>
        <v>Columbus</v>
      </c>
    </row>
    <row r="684" spans="2:16" x14ac:dyDescent="0.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s="22" t="str">
        <f>IF(calls[[#This Row],[Rating rounded]]&gt;=4,"Happy")</f>
        <v>Happy</v>
      </c>
      <c r="N684" s="22" t="str">
        <f>_xlfn.XLOOKUP(calls[[#This Row],[Customer ID]],customers[Customer ID],customers[Gedner])</f>
        <v>Male</v>
      </c>
      <c r="O684" s="22">
        <f>_xlfn.XLOOKUP(calls[[#This Row],[Customer ID]],customers[Customer ID],customers[Age])</f>
        <v>41</v>
      </c>
      <c r="P684" s="22" t="str">
        <f>_xlfn.XLOOKUP(calls[[#This Row],[Customer ID]],customers[Customer ID],customers[City])</f>
        <v>Columbus</v>
      </c>
    </row>
    <row r="685" spans="2:16" x14ac:dyDescent="0.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s="22" t="b">
        <f>IF(calls[[#This Row],[Rating rounded]]&gt;=4,"Happy")</f>
        <v>0</v>
      </c>
      <c r="N685" s="22" t="str">
        <f>_xlfn.XLOOKUP(calls[[#This Row],[Customer ID]],customers[Customer ID],customers[Gedner])</f>
        <v>Female</v>
      </c>
      <c r="O685" s="22">
        <f>_xlfn.XLOOKUP(calls[[#This Row],[Customer ID]],customers[Customer ID],customers[Age])</f>
        <v>38</v>
      </c>
      <c r="P685" s="22" t="str">
        <f>_xlfn.XLOOKUP(calls[[#This Row],[Customer ID]],customers[Customer ID],customers[City])</f>
        <v>Columbus</v>
      </c>
    </row>
    <row r="686" spans="2:16" x14ac:dyDescent="0.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s="22" t="str">
        <f>IF(calls[[#This Row],[Rating rounded]]&gt;=4,"Happy")</f>
        <v>Happy</v>
      </c>
      <c r="N686" s="22" t="str">
        <f>_xlfn.XLOOKUP(calls[[#This Row],[Customer ID]],customers[Customer ID],customers[Gedner])</f>
        <v>Female</v>
      </c>
      <c r="O686" s="22">
        <f>_xlfn.XLOOKUP(calls[[#This Row],[Customer ID]],customers[Customer ID],customers[Age])</f>
        <v>30</v>
      </c>
      <c r="P686" s="22" t="str">
        <f>_xlfn.XLOOKUP(calls[[#This Row],[Customer ID]],customers[Customer ID],customers[City])</f>
        <v>Cincinnati</v>
      </c>
    </row>
    <row r="687" spans="2:16" x14ac:dyDescent="0.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s="22" t="str">
        <f>IF(calls[[#This Row],[Rating rounded]]&gt;=4,"Happy")</f>
        <v>Happy</v>
      </c>
      <c r="N687" s="22" t="str">
        <f>_xlfn.XLOOKUP(calls[[#This Row],[Customer ID]],customers[Customer ID],customers[Gedner])</f>
        <v>Male</v>
      </c>
      <c r="O687" s="22">
        <f>_xlfn.XLOOKUP(calls[[#This Row],[Customer ID]],customers[Customer ID],customers[Age])</f>
        <v>31</v>
      </c>
      <c r="P687" s="22" t="str">
        <f>_xlfn.XLOOKUP(calls[[#This Row],[Customer ID]],customers[Customer ID],customers[City])</f>
        <v>Cleveland</v>
      </c>
    </row>
    <row r="688" spans="2:16" x14ac:dyDescent="0.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s="22" t="str">
        <f>IF(calls[[#This Row],[Rating rounded]]&gt;=4,"Happy")</f>
        <v>Happy</v>
      </c>
      <c r="N688" s="22" t="str">
        <f>_xlfn.XLOOKUP(calls[[#This Row],[Customer ID]],customers[Customer ID],customers[Gedner])</f>
        <v>Female</v>
      </c>
      <c r="O688" s="22">
        <f>_xlfn.XLOOKUP(calls[[#This Row],[Customer ID]],customers[Customer ID],customers[Age])</f>
        <v>22</v>
      </c>
      <c r="P688" s="22" t="str">
        <f>_xlfn.XLOOKUP(calls[[#This Row],[Customer ID]],customers[Customer ID],customers[City])</f>
        <v>Cleveland</v>
      </c>
    </row>
    <row r="689" spans="2:16" x14ac:dyDescent="0.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s="22" t="str">
        <f>IF(calls[[#This Row],[Rating rounded]]&gt;=4,"Happy")</f>
        <v>Happy</v>
      </c>
      <c r="N689" s="22" t="str">
        <f>_xlfn.XLOOKUP(calls[[#This Row],[Customer ID]],customers[Customer ID],customers[Gedner])</f>
        <v>Female</v>
      </c>
      <c r="O689" s="22">
        <f>_xlfn.XLOOKUP(calls[[#This Row],[Customer ID]],customers[Customer ID],customers[Age])</f>
        <v>28</v>
      </c>
      <c r="P689" s="22" t="str">
        <f>_xlfn.XLOOKUP(calls[[#This Row],[Customer ID]],customers[Customer ID],customers[City])</f>
        <v>Cincinnati</v>
      </c>
    </row>
    <row r="690" spans="2:16" x14ac:dyDescent="0.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s="22" t="str">
        <f>IF(calls[[#This Row],[Rating rounded]]&gt;=4,"Happy")</f>
        <v>Happy</v>
      </c>
      <c r="N690" s="22" t="str">
        <f>_xlfn.XLOOKUP(calls[[#This Row],[Customer ID]],customers[Customer ID],customers[Gedner])</f>
        <v>Female</v>
      </c>
      <c r="O690" s="22">
        <f>_xlfn.XLOOKUP(calls[[#This Row],[Customer ID]],customers[Customer ID],customers[Age])</f>
        <v>38</v>
      </c>
      <c r="P690" s="22" t="str">
        <f>_xlfn.XLOOKUP(calls[[#This Row],[Customer ID]],customers[Customer ID],customers[City])</f>
        <v>Columbus</v>
      </c>
    </row>
    <row r="691" spans="2:16" x14ac:dyDescent="0.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s="22" t="str">
        <f>IF(calls[[#This Row],[Rating rounded]]&gt;=4,"Happy")</f>
        <v>Happy</v>
      </c>
      <c r="N691" s="22" t="str">
        <f>_xlfn.XLOOKUP(calls[[#This Row],[Customer ID]],customers[Customer ID],customers[Gedner])</f>
        <v>Male</v>
      </c>
      <c r="O691" s="22">
        <f>_xlfn.XLOOKUP(calls[[#This Row],[Customer ID]],customers[Customer ID],customers[Age])</f>
        <v>23</v>
      </c>
      <c r="P691" s="22" t="str">
        <f>_xlfn.XLOOKUP(calls[[#This Row],[Customer ID]],customers[Customer ID],customers[City])</f>
        <v>Columbus</v>
      </c>
    </row>
    <row r="692" spans="2:16" x14ac:dyDescent="0.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s="22" t="b">
        <f>IF(calls[[#This Row],[Rating rounded]]&gt;=4,"Happy")</f>
        <v>0</v>
      </c>
      <c r="N692" s="22" t="str">
        <f>_xlfn.XLOOKUP(calls[[#This Row],[Customer ID]],customers[Customer ID],customers[Gedner])</f>
        <v>Male</v>
      </c>
      <c r="O692" s="22">
        <f>_xlfn.XLOOKUP(calls[[#This Row],[Customer ID]],customers[Customer ID],customers[Age])</f>
        <v>41</v>
      </c>
      <c r="P692" s="22" t="str">
        <f>_xlfn.XLOOKUP(calls[[#This Row],[Customer ID]],customers[Customer ID],customers[City])</f>
        <v>Columbus</v>
      </c>
    </row>
    <row r="693" spans="2:16" x14ac:dyDescent="0.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s="22" t="str">
        <f>IF(calls[[#This Row],[Rating rounded]]&gt;=4,"Happy")</f>
        <v>Happy</v>
      </c>
      <c r="N693" s="22" t="str">
        <f>_xlfn.XLOOKUP(calls[[#This Row],[Customer ID]],customers[Customer ID],customers[Gedner])</f>
        <v>Female</v>
      </c>
      <c r="O693" s="22">
        <f>_xlfn.XLOOKUP(calls[[#This Row],[Customer ID]],customers[Customer ID],customers[Age])</f>
        <v>22</v>
      </c>
      <c r="P693" s="22" t="str">
        <f>_xlfn.XLOOKUP(calls[[#This Row],[Customer ID]],customers[Customer ID],customers[City])</f>
        <v>Cleveland</v>
      </c>
    </row>
    <row r="694" spans="2:16" x14ac:dyDescent="0.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s="22" t="str">
        <f>IF(calls[[#This Row],[Rating rounded]]&gt;=4,"Happy")</f>
        <v>Happy</v>
      </c>
      <c r="N694" s="22" t="str">
        <f>_xlfn.XLOOKUP(calls[[#This Row],[Customer ID]],customers[Customer ID],customers[Gedner])</f>
        <v>Female</v>
      </c>
      <c r="O694" s="22">
        <f>_xlfn.XLOOKUP(calls[[#This Row],[Customer ID]],customers[Customer ID],customers[Age])</f>
        <v>28</v>
      </c>
      <c r="P694" s="22" t="str">
        <f>_xlfn.XLOOKUP(calls[[#This Row],[Customer ID]],customers[Customer ID],customers[City])</f>
        <v>Cincinnati</v>
      </c>
    </row>
    <row r="695" spans="2:16" x14ac:dyDescent="0.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s="22" t="str">
        <f>IF(calls[[#This Row],[Rating rounded]]&gt;=4,"Happy")</f>
        <v>Happy</v>
      </c>
      <c r="N695" s="22" t="str">
        <f>_xlfn.XLOOKUP(calls[[#This Row],[Customer ID]],customers[Customer ID],customers[Gedner])</f>
        <v>Female</v>
      </c>
      <c r="O695" s="22">
        <f>_xlfn.XLOOKUP(calls[[#This Row],[Customer ID]],customers[Customer ID],customers[Age])</f>
        <v>43</v>
      </c>
      <c r="P695" s="22" t="str">
        <f>_xlfn.XLOOKUP(calls[[#This Row],[Customer ID]],customers[Customer ID],customers[City])</f>
        <v>Cleveland</v>
      </c>
    </row>
    <row r="696" spans="2:16" x14ac:dyDescent="0.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s="22" t="b">
        <f>IF(calls[[#This Row],[Rating rounded]]&gt;=4,"Happy")</f>
        <v>0</v>
      </c>
      <c r="N696" s="22" t="str">
        <f>_xlfn.XLOOKUP(calls[[#This Row],[Customer ID]],customers[Customer ID],customers[Gedner])</f>
        <v>Female</v>
      </c>
      <c r="O696" s="22">
        <f>_xlfn.XLOOKUP(calls[[#This Row],[Customer ID]],customers[Customer ID],customers[Age])</f>
        <v>30</v>
      </c>
      <c r="P696" s="22" t="str">
        <f>_xlfn.XLOOKUP(calls[[#This Row],[Customer ID]],customers[Customer ID],customers[City])</f>
        <v>Cincinnati</v>
      </c>
    </row>
    <row r="697" spans="2:16" x14ac:dyDescent="0.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s="22" t="b">
        <f>IF(calls[[#This Row],[Rating rounded]]&gt;=4,"Happy")</f>
        <v>0</v>
      </c>
      <c r="N697" s="22" t="str">
        <f>_xlfn.XLOOKUP(calls[[#This Row],[Customer ID]],customers[Customer ID],customers[Gedner])</f>
        <v>Male</v>
      </c>
      <c r="O697" s="22">
        <f>_xlfn.XLOOKUP(calls[[#This Row],[Customer ID]],customers[Customer ID],customers[Age])</f>
        <v>41</v>
      </c>
      <c r="P697" s="22" t="str">
        <f>_xlfn.XLOOKUP(calls[[#This Row],[Customer ID]],customers[Customer ID],customers[City])</f>
        <v>Columbus</v>
      </c>
    </row>
    <row r="698" spans="2:16" x14ac:dyDescent="0.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s="22" t="str">
        <f>IF(calls[[#This Row],[Rating rounded]]&gt;=4,"Happy")</f>
        <v>Happy</v>
      </c>
      <c r="N698" s="22" t="str">
        <f>_xlfn.XLOOKUP(calls[[#This Row],[Customer ID]],customers[Customer ID],customers[Gedner])</f>
        <v>Female</v>
      </c>
      <c r="O698" s="22">
        <f>_xlfn.XLOOKUP(calls[[#This Row],[Customer ID]],customers[Customer ID],customers[Age])</f>
        <v>22</v>
      </c>
      <c r="P698" s="22" t="str">
        <f>_xlfn.XLOOKUP(calls[[#This Row],[Customer ID]],customers[Customer ID],customers[City])</f>
        <v>Cleveland</v>
      </c>
    </row>
    <row r="699" spans="2:16" x14ac:dyDescent="0.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s="22" t="str">
        <f>IF(calls[[#This Row],[Rating rounded]]&gt;=4,"Happy")</f>
        <v>Happy</v>
      </c>
      <c r="N699" s="22" t="str">
        <f>_xlfn.XLOOKUP(calls[[#This Row],[Customer ID]],customers[Customer ID],customers[Gedner])</f>
        <v>Male</v>
      </c>
      <c r="O699" s="22">
        <f>_xlfn.XLOOKUP(calls[[#This Row],[Customer ID]],customers[Customer ID],customers[Age])</f>
        <v>37</v>
      </c>
      <c r="P699" s="22" t="str">
        <f>_xlfn.XLOOKUP(calls[[#This Row],[Customer ID]],customers[Customer ID],customers[City])</f>
        <v>Columbus</v>
      </c>
    </row>
    <row r="700" spans="2:16" x14ac:dyDescent="0.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s="22" t="b">
        <f>IF(calls[[#This Row],[Rating rounded]]&gt;=4,"Happy")</f>
        <v>0</v>
      </c>
      <c r="N700" s="22" t="str">
        <f>_xlfn.XLOOKUP(calls[[#This Row],[Customer ID]],customers[Customer ID],customers[Gedner])</f>
        <v>Male</v>
      </c>
      <c r="O700" s="22">
        <f>_xlfn.XLOOKUP(calls[[#This Row],[Customer ID]],customers[Customer ID],customers[Age])</f>
        <v>23</v>
      </c>
      <c r="P700" s="22" t="str">
        <f>_xlfn.XLOOKUP(calls[[#This Row],[Customer ID]],customers[Customer ID],customers[City])</f>
        <v>Columbus</v>
      </c>
    </row>
    <row r="701" spans="2:16" x14ac:dyDescent="0.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s="22" t="str">
        <f>IF(calls[[#This Row],[Rating rounded]]&gt;=4,"Happy")</f>
        <v>Happy</v>
      </c>
      <c r="N701" s="22" t="str">
        <f>_xlfn.XLOOKUP(calls[[#This Row],[Customer ID]],customers[Customer ID],customers[Gedner])</f>
        <v>Female</v>
      </c>
      <c r="O701" s="22">
        <f>_xlfn.XLOOKUP(calls[[#This Row],[Customer ID]],customers[Customer ID],customers[Age])</f>
        <v>30</v>
      </c>
      <c r="P701" s="22" t="str">
        <f>_xlfn.XLOOKUP(calls[[#This Row],[Customer ID]],customers[Customer ID],customers[City])</f>
        <v>Cincinnati</v>
      </c>
    </row>
    <row r="702" spans="2:16" x14ac:dyDescent="0.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s="22" t="str">
        <f>IF(calls[[#This Row],[Rating rounded]]&gt;=4,"Happy")</f>
        <v>Happy</v>
      </c>
      <c r="N702" s="22" t="str">
        <f>_xlfn.XLOOKUP(calls[[#This Row],[Customer ID]],customers[Customer ID],customers[Gedner])</f>
        <v>Male</v>
      </c>
      <c r="O702" s="22">
        <f>_xlfn.XLOOKUP(calls[[#This Row],[Customer ID]],customers[Customer ID],customers[Age])</f>
        <v>36</v>
      </c>
      <c r="P702" s="22" t="str">
        <f>_xlfn.XLOOKUP(calls[[#This Row],[Customer ID]],customers[Customer ID],customers[City])</f>
        <v>Cincinnati</v>
      </c>
    </row>
    <row r="703" spans="2:16" x14ac:dyDescent="0.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s="22" t="str">
        <f>IF(calls[[#This Row],[Rating rounded]]&gt;=4,"Happy")</f>
        <v>Happy</v>
      </c>
      <c r="N703" s="22" t="str">
        <f>_xlfn.XLOOKUP(calls[[#This Row],[Customer ID]],customers[Customer ID],customers[Gedner])</f>
        <v>Male</v>
      </c>
      <c r="O703" s="22">
        <f>_xlfn.XLOOKUP(calls[[#This Row],[Customer ID]],customers[Customer ID],customers[Age])</f>
        <v>36</v>
      </c>
      <c r="P703" s="22" t="str">
        <f>_xlfn.XLOOKUP(calls[[#This Row],[Customer ID]],customers[Customer ID],customers[City])</f>
        <v>Cincinnati</v>
      </c>
    </row>
    <row r="704" spans="2:16" x14ac:dyDescent="0.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s="22" t="str">
        <f>IF(calls[[#This Row],[Rating rounded]]&gt;=4,"Happy")</f>
        <v>Happy</v>
      </c>
      <c r="N704" s="22" t="str">
        <f>_xlfn.XLOOKUP(calls[[#This Row],[Customer ID]],customers[Customer ID],customers[Gedner])</f>
        <v>Female</v>
      </c>
      <c r="O704" s="22">
        <f>_xlfn.XLOOKUP(calls[[#This Row],[Customer ID]],customers[Customer ID],customers[Age])</f>
        <v>37</v>
      </c>
      <c r="P704" s="22" t="str">
        <f>_xlfn.XLOOKUP(calls[[#This Row],[Customer ID]],customers[Customer ID],customers[City])</f>
        <v>Cleveland</v>
      </c>
    </row>
    <row r="705" spans="2:16" x14ac:dyDescent="0.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s="22" t="str">
        <f>IF(calls[[#This Row],[Rating rounded]]&gt;=4,"Happy")</f>
        <v>Happy</v>
      </c>
      <c r="N705" s="22" t="str">
        <f>_xlfn.XLOOKUP(calls[[#This Row],[Customer ID]],customers[Customer ID],customers[Gedner])</f>
        <v>Male</v>
      </c>
      <c r="O705" s="22">
        <f>_xlfn.XLOOKUP(calls[[#This Row],[Customer ID]],customers[Customer ID],customers[Age])</f>
        <v>26</v>
      </c>
      <c r="P705" s="22" t="str">
        <f>_xlfn.XLOOKUP(calls[[#This Row],[Customer ID]],customers[Customer ID],customers[City])</f>
        <v>Cincinnati</v>
      </c>
    </row>
    <row r="706" spans="2:16" x14ac:dyDescent="0.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s="22" t="b">
        <f>IF(calls[[#This Row],[Rating rounded]]&gt;=4,"Happy")</f>
        <v>0</v>
      </c>
      <c r="N706" s="22" t="str">
        <f>_xlfn.XLOOKUP(calls[[#This Row],[Customer ID]],customers[Customer ID],customers[Gedner])</f>
        <v>Female</v>
      </c>
      <c r="O706" s="22">
        <f>_xlfn.XLOOKUP(calls[[#This Row],[Customer ID]],customers[Customer ID],customers[Age])</f>
        <v>30</v>
      </c>
      <c r="P706" s="22" t="str">
        <f>_xlfn.XLOOKUP(calls[[#This Row],[Customer ID]],customers[Customer ID],customers[City])</f>
        <v>Cleveland</v>
      </c>
    </row>
    <row r="707" spans="2:16" x14ac:dyDescent="0.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s="22" t="str">
        <f>IF(calls[[#This Row],[Rating rounded]]&gt;=4,"Happy")</f>
        <v>Happy</v>
      </c>
      <c r="N707" s="22" t="str">
        <f>_xlfn.XLOOKUP(calls[[#This Row],[Customer ID]],customers[Customer ID],customers[Gedner])</f>
        <v>Male</v>
      </c>
      <c r="O707" s="22">
        <f>_xlfn.XLOOKUP(calls[[#This Row],[Customer ID]],customers[Customer ID],customers[Age])</f>
        <v>41</v>
      </c>
      <c r="P707" s="22" t="str">
        <f>_xlfn.XLOOKUP(calls[[#This Row],[Customer ID]],customers[Customer ID],customers[City])</f>
        <v>Columbus</v>
      </c>
    </row>
    <row r="708" spans="2:16" x14ac:dyDescent="0.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s="22" t="str">
        <f>IF(calls[[#This Row],[Rating rounded]]&gt;=4,"Happy")</f>
        <v>Happy</v>
      </c>
      <c r="N708" s="22" t="str">
        <f>_xlfn.XLOOKUP(calls[[#This Row],[Customer ID]],customers[Customer ID],customers[Gedner])</f>
        <v>Female</v>
      </c>
      <c r="O708" s="22">
        <f>_xlfn.XLOOKUP(calls[[#This Row],[Customer ID]],customers[Customer ID],customers[Age])</f>
        <v>25</v>
      </c>
      <c r="P708" s="22" t="str">
        <f>_xlfn.XLOOKUP(calls[[#This Row],[Customer ID]],customers[Customer ID],customers[City])</f>
        <v>Columbus</v>
      </c>
    </row>
    <row r="709" spans="2:16" x14ac:dyDescent="0.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s="22" t="str">
        <f>IF(calls[[#This Row],[Rating rounded]]&gt;=4,"Happy")</f>
        <v>Happy</v>
      </c>
      <c r="N709" s="22" t="str">
        <f>_xlfn.XLOOKUP(calls[[#This Row],[Customer ID]],customers[Customer ID],customers[Gedner])</f>
        <v>Female</v>
      </c>
      <c r="O709" s="22">
        <f>_xlfn.XLOOKUP(calls[[#This Row],[Customer ID]],customers[Customer ID],customers[Age])</f>
        <v>25</v>
      </c>
      <c r="P709" s="22" t="str">
        <f>_xlfn.XLOOKUP(calls[[#This Row],[Customer ID]],customers[Customer ID],customers[City])</f>
        <v>Columbus</v>
      </c>
    </row>
    <row r="710" spans="2:16" x14ac:dyDescent="0.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s="22" t="str">
        <f>IF(calls[[#This Row],[Rating rounded]]&gt;=4,"Happy")</f>
        <v>Happy</v>
      </c>
      <c r="N710" s="22" t="str">
        <f>_xlfn.XLOOKUP(calls[[#This Row],[Customer ID]],customers[Customer ID],customers[Gedner])</f>
        <v>Male</v>
      </c>
      <c r="O710" s="22">
        <f>_xlfn.XLOOKUP(calls[[#This Row],[Customer ID]],customers[Customer ID],customers[Age])</f>
        <v>26</v>
      </c>
      <c r="P710" s="22" t="str">
        <f>_xlfn.XLOOKUP(calls[[#This Row],[Customer ID]],customers[Customer ID],customers[City])</f>
        <v>Cincinnati</v>
      </c>
    </row>
    <row r="711" spans="2:16" x14ac:dyDescent="0.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s="22" t="str">
        <f>IF(calls[[#This Row],[Rating rounded]]&gt;=4,"Happy")</f>
        <v>Happy</v>
      </c>
      <c r="N711" s="22" t="str">
        <f>_xlfn.XLOOKUP(calls[[#This Row],[Customer ID]],customers[Customer ID],customers[Gedner])</f>
        <v>Female</v>
      </c>
      <c r="O711" s="22">
        <f>_xlfn.XLOOKUP(calls[[#This Row],[Customer ID]],customers[Customer ID],customers[Age])</f>
        <v>28</v>
      </c>
      <c r="P711" s="22" t="str">
        <f>_xlfn.XLOOKUP(calls[[#This Row],[Customer ID]],customers[Customer ID],customers[City])</f>
        <v>Cincinnati</v>
      </c>
    </row>
    <row r="712" spans="2:16" x14ac:dyDescent="0.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s="22" t="b">
        <f>IF(calls[[#This Row],[Rating rounded]]&gt;=4,"Happy")</f>
        <v>0</v>
      </c>
      <c r="N712" s="22" t="str">
        <f>_xlfn.XLOOKUP(calls[[#This Row],[Customer ID]],customers[Customer ID],customers[Gedner])</f>
        <v>Female</v>
      </c>
      <c r="O712" s="22">
        <f>_xlfn.XLOOKUP(calls[[#This Row],[Customer ID]],customers[Customer ID],customers[Age])</f>
        <v>28</v>
      </c>
      <c r="P712" s="22" t="str">
        <f>_xlfn.XLOOKUP(calls[[#This Row],[Customer ID]],customers[Customer ID],customers[City])</f>
        <v>Cincinnati</v>
      </c>
    </row>
    <row r="713" spans="2:16" x14ac:dyDescent="0.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s="22" t="str">
        <f>IF(calls[[#This Row],[Rating rounded]]&gt;=4,"Happy")</f>
        <v>Happy</v>
      </c>
      <c r="N713" s="22" t="str">
        <f>_xlfn.XLOOKUP(calls[[#This Row],[Customer ID]],customers[Customer ID],customers[Gedner])</f>
        <v>Male</v>
      </c>
      <c r="O713" s="22">
        <f>_xlfn.XLOOKUP(calls[[#This Row],[Customer ID]],customers[Customer ID],customers[Age])</f>
        <v>31</v>
      </c>
      <c r="P713" s="22" t="str">
        <f>_xlfn.XLOOKUP(calls[[#This Row],[Customer ID]],customers[Customer ID],customers[City])</f>
        <v>Cleveland</v>
      </c>
    </row>
    <row r="714" spans="2:16" x14ac:dyDescent="0.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s="22" t="str">
        <f>IF(calls[[#This Row],[Rating rounded]]&gt;=4,"Happy")</f>
        <v>Happy</v>
      </c>
      <c r="N714" s="22" t="str">
        <f>_xlfn.XLOOKUP(calls[[#This Row],[Customer ID]],customers[Customer ID],customers[Gedner])</f>
        <v>Female</v>
      </c>
      <c r="O714" s="22">
        <f>_xlfn.XLOOKUP(calls[[#This Row],[Customer ID]],customers[Customer ID],customers[Age])</f>
        <v>22</v>
      </c>
      <c r="P714" s="22" t="str">
        <f>_xlfn.XLOOKUP(calls[[#This Row],[Customer ID]],customers[Customer ID],customers[City])</f>
        <v>Cleveland</v>
      </c>
    </row>
    <row r="715" spans="2:16" x14ac:dyDescent="0.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s="22" t="str">
        <f>IF(calls[[#This Row],[Rating rounded]]&gt;=4,"Happy")</f>
        <v>Happy</v>
      </c>
      <c r="N715" s="22" t="str">
        <f>_xlfn.XLOOKUP(calls[[#This Row],[Customer ID]],customers[Customer ID],customers[Gedner])</f>
        <v>Male</v>
      </c>
      <c r="O715" s="22">
        <f>_xlfn.XLOOKUP(calls[[#This Row],[Customer ID]],customers[Customer ID],customers[Age])</f>
        <v>36</v>
      </c>
      <c r="P715" s="22" t="str">
        <f>_xlfn.XLOOKUP(calls[[#This Row],[Customer ID]],customers[Customer ID],customers[City])</f>
        <v>Cincinnati</v>
      </c>
    </row>
    <row r="716" spans="2:16" x14ac:dyDescent="0.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s="22" t="b">
        <f>IF(calls[[#This Row],[Rating rounded]]&gt;=4,"Happy")</f>
        <v>0</v>
      </c>
      <c r="N716" s="22" t="str">
        <f>_xlfn.XLOOKUP(calls[[#This Row],[Customer ID]],customers[Customer ID],customers[Gedner])</f>
        <v>Female</v>
      </c>
      <c r="O716" s="22">
        <f>_xlfn.XLOOKUP(calls[[#This Row],[Customer ID]],customers[Customer ID],customers[Age])</f>
        <v>38</v>
      </c>
      <c r="P716" s="22" t="str">
        <f>_xlfn.XLOOKUP(calls[[#This Row],[Customer ID]],customers[Customer ID],customers[City])</f>
        <v>Columbus</v>
      </c>
    </row>
    <row r="717" spans="2:16" x14ac:dyDescent="0.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s="22" t="b">
        <f>IF(calls[[#This Row],[Rating rounded]]&gt;=4,"Happy")</f>
        <v>0</v>
      </c>
      <c r="N717" s="22" t="str">
        <f>_xlfn.XLOOKUP(calls[[#This Row],[Customer ID]],customers[Customer ID],customers[Gedner])</f>
        <v>Female</v>
      </c>
      <c r="O717" s="22">
        <f>_xlfn.XLOOKUP(calls[[#This Row],[Customer ID]],customers[Customer ID],customers[Age])</f>
        <v>30</v>
      </c>
      <c r="P717" s="22" t="str">
        <f>_xlfn.XLOOKUP(calls[[#This Row],[Customer ID]],customers[Customer ID],customers[City])</f>
        <v>Cincinnati</v>
      </c>
    </row>
    <row r="718" spans="2:16" x14ac:dyDescent="0.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s="22" t="str">
        <f>IF(calls[[#This Row],[Rating rounded]]&gt;=4,"Happy")</f>
        <v>Happy</v>
      </c>
      <c r="N718" s="22" t="str">
        <f>_xlfn.XLOOKUP(calls[[#This Row],[Customer ID]],customers[Customer ID],customers[Gedner])</f>
        <v>Female</v>
      </c>
      <c r="O718" s="22">
        <f>_xlfn.XLOOKUP(calls[[#This Row],[Customer ID]],customers[Customer ID],customers[Age])</f>
        <v>38</v>
      </c>
      <c r="P718" s="22" t="str">
        <f>_xlfn.XLOOKUP(calls[[#This Row],[Customer ID]],customers[Customer ID],customers[City])</f>
        <v>Columbus</v>
      </c>
    </row>
    <row r="719" spans="2:16" x14ac:dyDescent="0.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s="22" t="str">
        <f>IF(calls[[#This Row],[Rating rounded]]&gt;=4,"Happy")</f>
        <v>Happy</v>
      </c>
      <c r="N719" s="22" t="str">
        <f>_xlfn.XLOOKUP(calls[[#This Row],[Customer ID]],customers[Customer ID],customers[Gedner])</f>
        <v>Female</v>
      </c>
      <c r="O719" s="22">
        <f>_xlfn.XLOOKUP(calls[[#This Row],[Customer ID]],customers[Customer ID],customers[Age])</f>
        <v>28</v>
      </c>
      <c r="P719" s="22" t="str">
        <f>_xlfn.XLOOKUP(calls[[#This Row],[Customer ID]],customers[Customer ID],customers[City])</f>
        <v>Cincinnati</v>
      </c>
    </row>
    <row r="720" spans="2:16" x14ac:dyDescent="0.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s="22" t="str">
        <f>IF(calls[[#This Row],[Rating rounded]]&gt;=4,"Happy")</f>
        <v>Happy</v>
      </c>
      <c r="N720" s="22" t="str">
        <f>_xlfn.XLOOKUP(calls[[#This Row],[Customer ID]],customers[Customer ID],customers[Gedner])</f>
        <v>Male</v>
      </c>
      <c r="O720" s="22">
        <f>_xlfn.XLOOKUP(calls[[#This Row],[Customer ID]],customers[Customer ID],customers[Age])</f>
        <v>37</v>
      </c>
      <c r="P720" s="22" t="str">
        <f>_xlfn.XLOOKUP(calls[[#This Row],[Customer ID]],customers[Customer ID],customers[City])</f>
        <v>Columbus</v>
      </c>
    </row>
    <row r="721" spans="2:16" x14ac:dyDescent="0.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s="22" t="str">
        <f>IF(calls[[#This Row],[Rating rounded]]&gt;=4,"Happy")</f>
        <v>Happy</v>
      </c>
      <c r="N721" s="22" t="str">
        <f>_xlfn.XLOOKUP(calls[[#This Row],[Customer ID]],customers[Customer ID],customers[Gedner])</f>
        <v>Male</v>
      </c>
      <c r="O721" s="22">
        <f>_xlfn.XLOOKUP(calls[[#This Row],[Customer ID]],customers[Customer ID],customers[Age])</f>
        <v>26</v>
      </c>
      <c r="P721" s="22" t="str">
        <f>_xlfn.XLOOKUP(calls[[#This Row],[Customer ID]],customers[Customer ID],customers[City])</f>
        <v>Cincinnati</v>
      </c>
    </row>
    <row r="722" spans="2:16" x14ac:dyDescent="0.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s="22" t="str">
        <f>IF(calls[[#This Row],[Rating rounded]]&gt;=4,"Happy")</f>
        <v>Happy</v>
      </c>
      <c r="N722" s="22" t="str">
        <f>_xlfn.XLOOKUP(calls[[#This Row],[Customer ID]],customers[Customer ID],customers[Gedner])</f>
        <v>Male</v>
      </c>
      <c r="O722" s="22">
        <f>_xlfn.XLOOKUP(calls[[#This Row],[Customer ID]],customers[Customer ID],customers[Age])</f>
        <v>41</v>
      </c>
      <c r="P722" s="22" t="str">
        <f>_xlfn.XLOOKUP(calls[[#This Row],[Customer ID]],customers[Customer ID],customers[City])</f>
        <v>Columbus</v>
      </c>
    </row>
    <row r="723" spans="2:16" x14ac:dyDescent="0.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s="22" t="b">
        <f>IF(calls[[#This Row],[Rating rounded]]&gt;=4,"Happy")</f>
        <v>0</v>
      </c>
      <c r="N723" s="22" t="str">
        <f>_xlfn.XLOOKUP(calls[[#This Row],[Customer ID]],customers[Customer ID],customers[Gedner])</f>
        <v>Female</v>
      </c>
      <c r="O723" s="22">
        <f>_xlfn.XLOOKUP(calls[[#This Row],[Customer ID]],customers[Customer ID],customers[Age])</f>
        <v>30</v>
      </c>
      <c r="P723" s="22" t="str">
        <f>_xlfn.XLOOKUP(calls[[#This Row],[Customer ID]],customers[Customer ID],customers[City])</f>
        <v>Cincinnati</v>
      </c>
    </row>
    <row r="724" spans="2:16" x14ac:dyDescent="0.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s="22" t="str">
        <f>IF(calls[[#This Row],[Rating rounded]]&gt;=4,"Happy")</f>
        <v>Happy</v>
      </c>
      <c r="N724" s="22" t="str">
        <f>_xlfn.XLOOKUP(calls[[#This Row],[Customer ID]],customers[Customer ID],customers[Gedner])</f>
        <v>Male</v>
      </c>
      <c r="O724" s="22">
        <f>_xlfn.XLOOKUP(calls[[#This Row],[Customer ID]],customers[Customer ID],customers[Age])</f>
        <v>23</v>
      </c>
      <c r="P724" s="22" t="str">
        <f>_xlfn.XLOOKUP(calls[[#This Row],[Customer ID]],customers[Customer ID],customers[City])</f>
        <v>Columbus</v>
      </c>
    </row>
    <row r="725" spans="2:16" x14ac:dyDescent="0.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s="22" t="str">
        <f>IF(calls[[#This Row],[Rating rounded]]&gt;=4,"Happy")</f>
        <v>Happy</v>
      </c>
      <c r="N725" s="22" t="str">
        <f>_xlfn.XLOOKUP(calls[[#This Row],[Customer ID]],customers[Customer ID],customers[Gedner])</f>
        <v>Male</v>
      </c>
      <c r="O725" s="22">
        <f>_xlfn.XLOOKUP(calls[[#This Row],[Customer ID]],customers[Customer ID],customers[Age])</f>
        <v>26</v>
      </c>
      <c r="P725" s="22" t="str">
        <f>_xlfn.XLOOKUP(calls[[#This Row],[Customer ID]],customers[Customer ID],customers[City])</f>
        <v>Cincinnati</v>
      </c>
    </row>
    <row r="726" spans="2:16" x14ac:dyDescent="0.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s="22" t="b">
        <f>IF(calls[[#This Row],[Rating rounded]]&gt;=4,"Happy")</f>
        <v>0</v>
      </c>
      <c r="N726" s="22" t="str">
        <f>_xlfn.XLOOKUP(calls[[#This Row],[Customer ID]],customers[Customer ID],customers[Gedner])</f>
        <v>Female</v>
      </c>
      <c r="O726" s="22">
        <f>_xlfn.XLOOKUP(calls[[#This Row],[Customer ID]],customers[Customer ID],customers[Age])</f>
        <v>43</v>
      </c>
      <c r="P726" s="22" t="str">
        <f>_xlfn.XLOOKUP(calls[[#This Row],[Customer ID]],customers[Customer ID],customers[City])</f>
        <v>Cleveland</v>
      </c>
    </row>
    <row r="727" spans="2:16" x14ac:dyDescent="0.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s="22" t="b">
        <f>IF(calls[[#This Row],[Rating rounded]]&gt;=4,"Happy")</f>
        <v>0</v>
      </c>
      <c r="N727" s="22" t="str">
        <f>_xlfn.XLOOKUP(calls[[#This Row],[Customer ID]],customers[Customer ID],customers[Gedner])</f>
        <v>Male</v>
      </c>
      <c r="O727" s="22">
        <f>_xlfn.XLOOKUP(calls[[#This Row],[Customer ID]],customers[Customer ID],customers[Age])</f>
        <v>41</v>
      </c>
      <c r="P727" s="22" t="str">
        <f>_xlfn.XLOOKUP(calls[[#This Row],[Customer ID]],customers[Customer ID],customers[City])</f>
        <v>Columbus</v>
      </c>
    </row>
    <row r="728" spans="2:16" x14ac:dyDescent="0.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s="22" t="str">
        <f>IF(calls[[#This Row],[Rating rounded]]&gt;=4,"Happy")</f>
        <v>Happy</v>
      </c>
      <c r="N728" s="22" t="str">
        <f>_xlfn.XLOOKUP(calls[[#This Row],[Customer ID]],customers[Customer ID],customers[Gedner])</f>
        <v>Female</v>
      </c>
      <c r="O728" s="22">
        <f>_xlfn.XLOOKUP(calls[[#This Row],[Customer ID]],customers[Customer ID],customers[Age])</f>
        <v>30</v>
      </c>
      <c r="P728" s="22" t="str">
        <f>_xlfn.XLOOKUP(calls[[#This Row],[Customer ID]],customers[Customer ID],customers[City])</f>
        <v>Cleveland</v>
      </c>
    </row>
    <row r="729" spans="2:16" x14ac:dyDescent="0.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s="22" t="str">
        <f>IF(calls[[#This Row],[Rating rounded]]&gt;=4,"Happy")</f>
        <v>Happy</v>
      </c>
      <c r="N729" s="22" t="str">
        <f>_xlfn.XLOOKUP(calls[[#This Row],[Customer ID]],customers[Customer ID],customers[Gedner])</f>
        <v>Male</v>
      </c>
      <c r="O729" s="22">
        <f>_xlfn.XLOOKUP(calls[[#This Row],[Customer ID]],customers[Customer ID],customers[Age])</f>
        <v>26</v>
      </c>
      <c r="P729" s="22" t="str">
        <f>_xlfn.XLOOKUP(calls[[#This Row],[Customer ID]],customers[Customer ID],customers[City])</f>
        <v>Cincinnati</v>
      </c>
    </row>
    <row r="730" spans="2:16" x14ac:dyDescent="0.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s="22" t="str">
        <f>IF(calls[[#This Row],[Rating rounded]]&gt;=4,"Happy")</f>
        <v>Happy</v>
      </c>
      <c r="N730" s="22" t="str">
        <f>_xlfn.XLOOKUP(calls[[#This Row],[Customer ID]],customers[Customer ID],customers[Gedner])</f>
        <v>Female</v>
      </c>
      <c r="O730" s="22">
        <f>_xlfn.XLOOKUP(calls[[#This Row],[Customer ID]],customers[Customer ID],customers[Age])</f>
        <v>37</v>
      </c>
      <c r="P730" s="22" t="str">
        <f>_xlfn.XLOOKUP(calls[[#This Row],[Customer ID]],customers[Customer ID],customers[City])</f>
        <v>Cleveland</v>
      </c>
    </row>
    <row r="731" spans="2:16" x14ac:dyDescent="0.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s="22" t="str">
        <f>IF(calls[[#This Row],[Rating rounded]]&gt;=4,"Happy")</f>
        <v>Happy</v>
      </c>
      <c r="N731" s="22" t="str">
        <f>_xlfn.XLOOKUP(calls[[#This Row],[Customer ID]],customers[Customer ID],customers[Gedner])</f>
        <v>Male</v>
      </c>
      <c r="O731" s="22">
        <f>_xlfn.XLOOKUP(calls[[#This Row],[Customer ID]],customers[Customer ID],customers[Age])</f>
        <v>31</v>
      </c>
      <c r="P731" s="22" t="str">
        <f>_xlfn.XLOOKUP(calls[[#This Row],[Customer ID]],customers[Customer ID],customers[City])</f>
        <v>Cleveland</v>
      </c>
    </row>
    <row r="732" spans="2:16" x14ac:dyDescent="0.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s="22" t="str">
        <f>IF(calls[[#This Row],[Rating rounded]]&gt;=4,"Happy")</f>
        <v>Happy</v>
      </c>
      <c r="N732" s="22" t="str">
        <f>_xlfn.XLOOKUP(calls[[#This Row],[Customer ID]],customers[Customer ID],customers[Gedner])</f>
        <v>Female</v>
      </c>
      <c r="O732" s="22">
        <f>_xlfn.XLOOKUP(calls[[#This Row],[Customer ID]],customers[Customer ID],customers[Age])</f>
        <v>30</v>
      </c>
      <c r="P732" s="22" t="str">
        <f>_xlfn.XLOOKUP(calls[[#This Row],[Customer ID]],customers[Customer ID],customers[City])</f>
        <v>Cleveland</v>
      </c>
    </row>
    <row r="733" spans="2:16" x14ac:dyDescent="0.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s="22" t="str">
        <f>IF(calls[[#This Row],[Rating rounded]]&gt;=4,"Happy")</f>
        <v>Happy</v>
      </c>
      <c r="N733" s="22" t="str">
        <f>_xlfn.XLOOKUP(calls[[#This Row],[Customer ID]],customers[Customer ID],customers[Gedner])</f>
        <v>Male</v>
      </c>
      <c r="O733" s="22">
        <f>_xlfn.XLOOKUP(calls[[#This Row],[Customer ID]],customers[Customer ID],customers[Age])</f>
        <v>37</v>
      </c>
      <c r="P733" s="22" t="str">
        <f>_xlfn.XLOOKUP(calls[[#This Row],[Customer ID]],customers[Customer ID],customers[City])</f>
        <v>Columbus</v>
      </c>
    </row>
    <row r="734" spans="2:16" x14ac:dyDescent="0.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s="22" t="str">
        <f>IF(calls[[#This Row],[Rating rounded]]&gt;=4,"Happy")</f>
        <v>Happy</v>
      </c>
      <c r="N734" s="22" t="str">
        <f>_xlfn.XLOOKUP(calls[[#This Row],[Customer ID]],customers[Customer ID],customers[Gedner])</f>
        <v>Male</v>
      </c>
      <c r="O734" s="22">
        <f>_xlfn.XLOOKUP(calls[[#This Row],[Customer ID]],customers[Customer ID],customers[Age])</f>
        <v>26</v>
      </c>
      <c r="P734" s="22" t="str">
        <f>_xlfn.XLOOKUP(calls[[#This Row],[Customer ID]],customers[Customer ID],customers[City])</f>
        <v>Cincinnati</v>
      </c>
    </row>
    <row r="735" spans="2:16" x14ac:dyDescent="0.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s="22" t="str">
        <f>IF(calls[[#This Row],[Rating rounded]]&gt;=4,"Happy")</f>
        <v>Happy</v>
      </c>
      <c r="N735" s="22" t="str">
        <f>_xlfn.XLOOKUP(calls[[#This Row],[Customer ID]],customers[Customer ID],customers[Gedner])</f>
        <v>Female</v>
      </c>
      <c r="O735" s="22">
        <f>_xlfn.XLOOKUP(calls[[#This Row],[Customer ID]],customers[Customer ID],customers[Age])</f>
        <v>37</v>
      </c>
      <c r="P735" s="22" t="str">
        <f>_xlfn.XLOOKUP(calls[[#This Row],[Customer ID]],customers[Customer ID],customers[City])</f>
        <v>Cleveland</v>
      </c>
    </row>
    <row r="736" spans="2:16" x14ac:dyDescent="0.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s="22" t="str">
        <f>IF(calls[[#This Row],[Rating rounded]]&gt;=4,"Happy")</f>
        <v>Happy</v>
      </c>
      <c r="N736" s="22" t="str">
        <f>_xlfn.XLOOKUP(calls[[#This Row],[Customer ID]],customers[Customer ID],customers[Gedner])</f>
        <v>Female</v>
      </c>
      <c r="O736" s="22">
        <f>_xlfn.XLOOKUP(calls[[#This Row],[Customer ID]],customers[Customer ID],customers[Age])</f>
        <v>22</v>
      </c>
      <c r="P736" s="22" t="str">
        <f>_xlfn.XLOOKUP(calls[[#This Row],[Customer ID]],customers[Customer ID],customers[City])</f>
        <v>Cleveland</v>
      </c>
    </row>
    <row r="737" spans="2:16" x14ac:dyDescent="0.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s="22" t="str">
        <f>IF(calls[[#This Row],[Rating rounded]]&gt;=4,"Happy")</f>
        <v>Happy</v>
      </c>
      <c r="N737" s="22" t="str">
        <f>_xlfn.XLOOKUP(calls[[#This Row],[Customer ID]],customers[Customer ID],customers[Gedner])</f>
        <v>Female</v>
      </c>
      <c r="O737" s="22">
        <f>_xlfn.XLOOKUP(calls[[#This Row],[Customer ID]],customers[Customer ID],customers[Age])</f>
        <v>28</v>
      </c>
      <c r="P737" s="22" t="str">
        <f>_xlfn.XLOOKUP(calls[[#This Row],[Customer ID]],customers[Customer ID],customers[City])</f>
        <v>Cincinnati</v>
      </c>
    </row>
    <row r="738" spans="2:16" x14ac:dyDescent="0.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s="22" t="b">
        <f>IF(calls[[#This Row],[Rating rounded]]&gt;=4,"Happy")</f>
        <v>0</v>
      </c>
      <c r="N738" s="22" t="str">
        <f>_xlfn.XLOOKUP(calls[[#This Row],[Customer ID]],customers[Customer ID],customers[Gedner])</f>
        <v>Female</v>
      </c>
      <c r="O738" s="22">
        <f>_xlfn.XLOOKUP(calls[[#This Row],[Customer ID]],customers[Customer ID],customers[Age])</f>
        <v>22</v>
      </c>
      <c r="P738" s="22" t="str">
        <f>_xlfn.XLOOKUP(calls[[#This Row],[Customer ID]],customers[Customer ID],customers[City])</f>
        <v>Cleveland</v>
      </c>
    </row>
    <row r="739" spans="2:16" x14ac:dyDescent="0.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s="22" t="str">
        <f>IF(calls[[#This Row],[Rating rounded]]&gt;=4,"Happy")</f>
        <v>Happy</v>
      </c>
      <c r="N739" s="22" t="str">
        <f>_xlfn.XLOOKUP(calls[[#This Row],[Customer ID]],customers[Customer ID],customers[Gedner])</f>
        <v>Male</v>
      </c>
      <c r="O739" s="22">
        <f>_xlfn.XLOOKUP(calls[[#This Row],[Customer ID]],customers[Customer ID],customers[Age])</f>
        <v>37</v>
      </c>
      <c r="P739" s="22" t="str">
        <f>_xlfn.XLOOKUP(calls[[#This Row],[Customer ID]],customers[Customer ID],customers[City])</f>
        <v>Columbus</v>
      </c>
    </row>
    <row r="740" spans="2:16" x14ac:dyDescent="0.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s="22" t="str">
        <f>IF(calls[[#This Row],[Rating rounded]]&gt;=4,"Happy")</f>
        <v>Happy</v>
      </c>
      <c r="N740" s="22" t="str">
        <f>_xlfn.XLOOKUP(calls[[#This Row],[Customer ID]],customers[Customer ID],customers[Gedner])</f>
        <v>Male</v>
      </c>
      <c r="O740" s="22">
        <f>_xlfn.XLOOKUP(calls[[#This Row],[Customer ID]],customers[Customer ID],customers[Age])</f>
        <v>41</v>
      </c>
      <c r="P740" s="22" t="str">
        <f>_xlfn.XLOOKUP(calls[[#This Row],[Customer ID]],customers[Customer ID],customers[City])</f>
        <v>Columbus</v>
      </c>
    </row>
    <row r="741" spans="2:16" x14ac:dyDescent="0.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s="22" t="str">
        <f>IF(calls[[#This Row],[Rating rounded]]&gt;=4,"Happy")</f>
        <v>Happy</v>
      </c>
      <c r="N741" s="22" t="str">
        <f>_xlfn.XLOOKUP(calls[[#This Row],[Customer ID]],customers[Customer ID],customers[Gedner])</f>
        <v>Male</v>
      </c>
      <c r="O741" s="22">
        <f>_xlfn.XLOOKUP(calls[[#This Row],[Customer ID]],customers[Customer ID],customers[Age])</f>
        <v>26</v>
      </c>
      <c r="P741" s="22" t="str">
        <f>_xlfn.XLOOKUP(calls[[#This Row],[Customer ID]],customers[Customer ID],customers[City])</f>
        <v>Cincinnati</v>
      </c>
    </row>
    <row r="742" spans="2:16" x14ac:dyDescent="0.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s="22" t="str">
        <f>IF(calls[[#This Row],[Rating rounded]]&gt;=4,"Happy")</f>
        <v>Happy</v>
      </c>
      <c r="N742" s="22" t="str">
        <f>_xlfn.XLOOKUP(calls[[#This Row],[Customer ID]],customers[Customer ID],customers[Gedner])</f>
        <v>Female</v>
      </c>
      <c r="O742" s="22">
        <f>_xlfn.XLOOKUP(calls[[#This Row],[Customer ID]],customers[Customer ID],customers[Age])</f>
        <v>25</v>
      </c>
      <c r="P742" s="22" t="str">
        <f>_xlfn.XLOOKUP(calls[[#This Row],[Customer ID]],customers[Customer ID],customers[City])</f>
        <v>Columbus</v>
      </c>
    </row>
    <row r="743" spans="2:16" x14ac:dyDescent="0.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s="22" t="str">
        <f>IF(calls[[#This Row],[Rating rounded]]&gt;=4,"Happy")</f>
        <v>Happy</v>
      </c>
      <c r="N743" s="22" t="str">
        <f>_xlfn.XLOOKUP(calls[[#This Row],[Customer ID]],customers[Customer ID],customers[Gedner])</f>
        <v>Female</v>
      </c>
      <c r="O743" s="22">
        <f>_xlfn.XLOOKUP(calls[[#This Row],[Customer ID]],customers[Customer ID],customers[Age])</f>
        <v>30</v>
      </c>
      <c r="P743" s="22" t="str">
        <f>_xlfn.XLOOKUP(calls[[#This Row],[Customer ID]],customers[Customer ID],customers[City])</f>
        <v>Cleveland</v>
      </c>
    </row>
    <row r="744" spans="2:16" x14ac:dyDescent="0.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s="22" t="str">
        <f>IF(calls[[#This Row],[Rating rounded]]&gt;=4,"Happy")</f>
        <v>Happy</v>
      </c>
      <c r="N744" s="22" t="str">
        <f>_xlfn.XLOOKUP(calls[[#This Row],[Customer ID]],customers[Customer ID],customers[Gedner])</f>
        <v>Male</v>
      </c>
      <c r="O744" s="22">
        <f>_xlfn.XLOOKUP(calls[[#This Row],[Customer ID]],customers[Customer ID],customers[Age])</f>
        <v>37</v>
      </c>
      <c r="P744" s="22" t="str">
        <f>_xlfn.XLOOKUP(calls[[#This Row],[Customer ID]],customers[Customer ID],customers[City])</f>
        <v>Columbus</v>
      </c>
    </row>
    <row r="745" spans="2:16" x14ac:dyDescent="0.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s="22" t="b">
        <f>IF(calls[[#This Row],[Rating rounded]]&gt;=4,"Happy")</f>
        <v>0</v>
      </c>
      <c r="N745" s="22" t="str">
        <f>_xlfn.XLOOKUP(calls[[#This Row],[Customer ID]],customers[Customer ID],customers[Gedner])</f>
        <v>Female</v>
      </c>
      <c r="O745" s="22">
        <f>_xlfn.XLOOKUP(calls[[#This Row],[Customer ID]],customers[Customer ID],customers[Age])</f>
        <v>28</v>
      </c>
      <c r="P745" s="22" t="str">
        <f>_xlfn.XLOOKUP(calls[[#This Row],[Customer ID]],customers[Customer ID],customers[City])</f>
        <v>Cincinnati</v>
      </c>
    </row>
    <row r="746" spans="2:16" x14ac:dyDescent="0.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s="22" t="str">
        <f>IF(calls[[#This Row],[Rating rounded]]&gt;=4,"Happy")</f>
        <v>Happy</v>
      </c>
      <c r="N746" s="22" t="str">
        <f>_xlfn.XLOOKUP(calls[[#This Row],[Customer ID]],customers[Customer ID],customers[Gedner])</f>
        <v>Male</v>
      </c>
      <c r="O746" s="22">
        <f>_xlfn.XLOOKUP(calls[[#This Row],[Customer ID]],customers[Customer ID],customers[Age])</f>
        <v>36</v>
      </c>
      <c r="P746" s="22" t="str">
        <f>_xlfn.XLOOKUP(calls[[#This Row],[Customer ID]],customers[Customer ID],customers[City])</f>
        <v>Cincinnati</v>
      </c>
    </row>
    <row r="747" spans="2:16" x14ac:dyDescent="0.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s="22" t="str">
        <f>IF(calls[[#This Row],[Rating rounded]]&gt;=4,"Happy")</f>
        <v>Happy</v>
      </c>
      <c r="N747" s="22" t="str">
        <f>_xlfn.XLOOKUP(calls[[#This Row],[Customer ID]],customers[Customer ID],customers[Gedner])</f>
        <v>Female</v>
      </c>
      <c r="O747" s="22">
        <f>_xlfn.XLOOKUP(calls[[#This Row],[Customer ID]],customers[Customer ID],customers[Age])</f>
        <v>30</v>
      </c>
      <c r="P747" s="22" t="str">
        <f>_xlfn.XLOOKUP(calls[[#This Row],[Customer ID]],customers[Customer ID],customers[City])</f>
        <v>Cleveland</v>
      </c>
    </row>
    <row r="748" spans="2:16" x14ac:dyDescent="0.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s="22" t="str">
        <f>IF(calls[[#This Row],[Rating rounded]]&gt;=4,"Happy")</f>
        <v>Happy</v>
      </c>
      <c r="N748" s="22" t="str">
        <f>_xlfn.XLOOKUP(calls[[#This Row],[Customer ID]],customers[Customer ID],customers[Gedner])</f>
        <v>Male</v>
      </c>
      <c r="O748" s="22">
        <f>_xlfn.XLOOKUP(calls[[#This Row],[Customer ID]],customers[Customer ID],customers[Age])</f>
        <v>37</v>
      </c>
      <c r="P748" s="22" t="str">
        <f>_xlfn.XLOOKUP(calls[[#This Row],[Customer ID]],customers[Customer ID],customers[City])</f>
        <v>Columbus</v>
      </c>
    </row>
    <row r="749" spans="2:16" x14ac:dyDescent="0.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s="22" t="str">
        <f>IF(calls[[#This Row],[Rating rounded]]&gt;=4,"Happy")</f>
        <v>Happy</v>
      </c>
      <c r="N749" s="22" t="str">
        <f>_xlfn.XLOOKUP(calls[[#This Row],[Customer ID]],customers[Customer ID],customers[Gedner])</f>
        <v>Female</v>
      </c>
      <c r="O749" s="22">
        <f>_xlfn.XLOOKUP(calls[[#This Row],[Customer ID]],customers[Customer ID],customers[Age])</f>
        <v>22</v>
      </c>
      <c r="P749" s="22" t="str">
        <f>_xlfn.XLOOKUP(calls[[#This Row],[Customer ID]],customers[Customer ID],customers[City])</f>
        <v>Cleveland</v>
      </c>
    </row>
    <row r="750" spans="2:16" x14ac:dyDescent="0.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s="22" t="str">
        <f>IF(calls[[#This Row],[Rating rounded]]&gt;=4,"Happy")</f>
        <v>Happy</v>
      </c>
      <c r="N750" s="22" t="str">
        <f>_xlfn.XLOOKUP(calls[[#This Row],[Customer ID]],customers[Customer ID],customers[Gedner])</f>
        <v>Female</v>
      </c>
      <c r="O750" s="22">
        <f>_xlfn.XLOOKUP(calls[[#This Row],[Customer ID]],customers[Customer ID],customers[Age])</f>
        <v>22</v>
      </c>
      <c r="P750" s="22" t="str">
        <f>_xlfn.XLOOKUP(calls[[#This Row],[Customer ID]],customers[Customer ID],customers[City])</f>
        <v>Cleveland</v>
      </c>
    </row>
    <row r="751" spans="2:16" x14ac:dyDescent="0.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s="22" t="str">
        <f>IF(calls[[#This Row],[Rating rounded]]&gt;=4,"Happy")</f>
        <v>Happy</v>
      </c>
      <c r="N751" s="22" t="str">
        <f>_xlfn.XLOOKUP(calls[[#This Row],[Customer ID]],customers[Customer ID],customers[Gedner])</f>
        <v>Female</v>
      </c>
      <c r="O751" s="22">
        <f>_xlfn.XLOOKUP(calls[[#This Row],[Customer ID]],customers[Customer ID],customers[Age])</f>
        <v>30</v>
      </c>
      <c r="P751" s="22" t="str">
        <f>_xlfn.XLOOKUP(calls[[#This Row],[Customer ID]],customers[Customer ID],customers[City])</f>
        <v>Cincinnati</v>
      </c>
    </row>
    <row r="752" spans="2:16" x14ac:dyDescent="0.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s="22" t="str">
        <f>IF(calls[[#This Row],[Rating rounded]]&gt;=4,"Happy")</f>
        <v>Happy</v>
      </c>
      <c r="N752" s="22" t="str">
        <f>_xlfn.XLOOKUP(calls[[#This Row],[Customer ID]],customers[Customer ID],customers[Gedner])</f>
        <v>Female</v>
      </c>
      <c r="O752" s="22">
        <f>_xlfn.XLOOKUP(calls[[#This Row],[Customer ID]],customers[Customer ID],customers[Age])</f>
        <v>30</v>
      </c>
      <c r="P752" s="22" t="str">
        <f>_xlfn.XLOOKUP(calls[[#This Row],[Customer ID]],customers[Customer ID],customers[City])</f>
        <v>Cincinnati</v>
      </c>
    </row>
    <row r="753" spans="2:16" x14ac:dyDescent="0.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s="22" t="b">
        <f>IF(calls[[#This Row],[Rating rounded]]&gt;=4,"Happy")</f>
        <v>0</v>
      </c>
      <c r="N753" s="22" t="str">
        <f>_xlfn.XLOOKUP(calls[[#This Row],[Customer ID]],customers[Customer ID],customers[Gedner])</f>
        <v>Female</v>
      </c>
      <c r="O753" s="22">
        <f>_xlfn.XLOOKUP(calls[[#This Row],[Customer ID]],customers[Customer ID],customers[Age])</f>
        <v>28</v>
      </c>
      <c r="P753" s="22" t="str">
        <f>_xlfn.XLOOKUP(calls[[#This Row],[Customer ID]],customers[Customer ID],customers[City])</f>
        <v>Cincinnati</v>
      </c>
    </row>
    <row r="754" spans="2:16" x14ac:dyDescent="0.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s="22" t="str">
        <f>IF(calls[[#This Row],[Rating rounded]]&gt;=4,"Happy")</f>
        <v>Happy</v>
      </c>
      <c r="N754" s="22" t="str">
        <f>_xlfn.XLOOKUP(calls[[#This Row],[Customer ID]],customers[Customer ID],customers[Gedner])</f>
        <v>Female</v>
      </c>
      <c r="O754" s="22">
        <f>_xlfn.XLOOKUP(calls[[#This Row],[Customer ID]],customers[Customer ID],customers[Age])</f>
        <v>43</v>
      </c>
      <c r="P754" s="22" t="str">
        <f>_xlfn.XLOOKUP(calls[[#This Row],[Customer ID]],customers[Customer ID],customers[City])</f>
        <v>Cleveland</v>
      </c>
    </row>
    <row r="755" spans="2:16" x14ac:dyDescent="0.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s="22" t="str">
        <f>IF(calls[[#This Row],[Rating rounded]]&gt;=4,"Happy")</f>
        <v>Happy</v>
      </c>
      <c r="N755" s="22" t="str">
        <f>_xlfn.XLOOKUP(calls[[#This Row],[Customer ID]],customers[Customer ID],customers[Gedner])</f>
        <v>Female</v>
      </c>
      <c r="O755" s="22">
        <f>_xlfn.XLOOKUP(calls[[#This Row],[Customer ID]],customers[Customer ID],customers[Age])</f>
        <v>42</v>
      </c>
      <c r="P755" s="22" t="str">
        <f>_xlfn.XLOOKUP(calls[[#This Row],[Customer ID]],customers[Customer ID],customers[City])</f>
        <v>Cleveland</v>
      </c>
    </row>
    <row r="756" spans="2:16" x14ac:dyDescent="0.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s="22" t="str">
        <f>IF(calls[[#This Row],[Rating rounded]]&gt;=4,"Happy")</f>
        <v>Happy</v>
      </c>
      <c r="N756" s="22" t="str">
        <f>_xlfn.XLOOKUP(calls[[#This Row],[Customer ID]],customers[Customer ID],customers[Gedner])</f>
        <v>Female</v>
      </c>
      <c r="O756" s="22">
        <f>_xlfn.XLOOKUP(calls[[#This Row],[Customer ID]],customers[Customer ID],customers[Age])</f>
        <v>22</v>
      </c>
      <c r="P756" s="22" t="str">
        <f>_xlfn.XLOOKUP(calls[[#This Row],[Customer ID]],customers[Customer ID],customers[City])</f>
        <v>Cleveland</v>
      </c>
    </row>
    <row r="757" spans="2:16" x14ac:dyDescent="0.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s="22" t="str">
        <f>IF(calls[[#This Row],[Rating rounded]]&gt;=4,"Happy")</f>
        <v>Happy</v>
      </c>
      <c r="N757" s="22" t="str">
        <f>_xlfn.XLOOKUP(calls[[#This Row],[Customer ID]],customers[Customer ID],customers[Gedner])</f>
        <v>Female</v>
      </c>
      <c r="O757" s="22">
        <f>_xlfn.XLOOKUP(calls[[#This Row],[Customer ID]],customers[Customer ID],customers[Age])</f>
        <v>30</v>
      </c>
      <c r="P757" s="22" t="str">
        <f>_xlfn.XLOOKUP(calls[[#This Row],[Customer ID]],customers[Customer ID],customers[City])</f>
        <v>Cincinnati</v>
      </c>
    </row>
    <row r="758" spans="2:16" x14ac:dyDescent="0.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s="22" t="str">
        <f>IF(calls[[#This Row],[Rating rounded]]&gt;=4,"Happy")</f>
        <v>Happy</v>
      </c>
      <c r="N758" s="22" t="str">
        <f>_xlfn.XLOOKUP(calls[[#This Row],[Customer ID]],customers[Customer ID],customers[Gedner])</f>
        <v>Male</v>
      </c>
      <c r="O758" s="22">
        <f>_xlfn.XLOOKUP(calls[[#This Row],[Customer ID]],customers[Customer ID],customers[Age])</f>
        <v>31</v>
      </c>
      <c r="P758" s="22" t="str">
        <f>_xlfn.XLOOKUP(calls[[#This Row],[Customer ID]],customers[Customer ID],customers[City])</f>
        <v>Cleveland</v>
      </c>
    </row>
    <row r="759" spans="2:16" x14ac:dyDescent="0.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s="22" t="str">
        <f>IF(calls[[#This Row],[Rating rounded]]&gt;=4,"Happy")</f>
        <v>Happy</v>
      </c>
      <c r="N759" s="22" t="str">
        <f>_xlfn.XLOOKUP(calls[[#This Row],[Customer ID]],customers[Customer ID],customers[Gedner])</f>
        <v>Male</v>
      </c>
      <c r="O759" s="22">
        <f>_xlfn.XLOOKUP(calls[[#This Row],[Customer ID]],customers[Customer ID],customers[Age])</f>
        <v>23</v>
      </c>
      <c r="P759" s="22" t="str">
        <f>_xlfn.XLOOKUP(calls[[#This Row],[Customer ID]],customers[Customer ID],customers[City])</f>
        <v>Columbus</v>
      </c>
    </row>
    <row r="760" spans="2:16" x14ac:dyDescent="0.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s="22" t="str">
        <f>IF(calls[[#This Row],[Rating rounded]]&gt;=4,"Happy")</f>
        <v>Happy</v>
      </c>
      <c r="N760" s="22" t="str">
        <f>_xlfn.XLOOKUP(calls[[#This Row],[Customer ID]],customers[Customer ID],customers[Gedner])</f>
        <v>Male</v>
      </c>
      <c r="O760" s="22">
        <f>_xlfn.XLOOKUP(calls[[#This Row],[Customer ID]],customers[Customer ID],customers[Age])</f>
        <v>23</v>
      </c>
      <c r="P760" s="22" t="str">
        <f>_xlfn.XLOOKUP(calls[[#This Row],[Customer ID]],customers[Customer ID],customers[City])</f>
        <v>Columbus</v>
      </c>
    </row>
    <row r="761" spans="2:16" x14ac:dyDescent="0.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s="22" t="str">
        <f>IF(calls[[#This Row],[Rating rounded]]&gt;=4,"Happy")</f>
        <v>Happy</v>
      </c>
      <c r="N761" s="22" t="str">
        <f>_xlfn.XLOOKUP(calls[[#This Row],[Customer ID]],customers[Customer ID],customers[Gedner])</f>
        <v>Male</v>
      </c>
      <c r="O761" s="22">
        <f>_xlfn.XLOOKUP(calls[[#This Row],[Customer ID]],customers[Customer ID],customers[Age])</f>
        <v>31</v>
      </c>
      <c r="P761" s="22" t="str">
        <f>_xlfn.XLOOKUP(calls[[#This Row],[Customer ID]],customers[Customer ID],customers[City])</f>
        <v>Cleveland</v>
      </c>
    </row>
    <row r="762" spans="2:16" x14ac:dyDescent="0.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s="22" t="b">
        <f>IF(calls[[#This Row],[Rating rounded]]&gt;=4,"Happy")</f>
        <v>0</v>
      </c>
      <c r="N762" s="22" t="str">
        <f>_xlfn.XLOOKUP(calls[[#This Row],[Customer ID]],customers[Customer ID],customers[Gedner])</f>
        <v>Male</v>
      </c>
      <c r="O762" s="22">
        <f>_xlfn.XLOOKUP(calls[[#This Row],[Customer ID]],customers[Customer ID],customers[Age])</f>
        <v>41</v>
      </c>
      <c r="P762" s="22" t="str">
        <f>_xlfn.XLOOKUP(calls[[#This Row],[Customer ID]],customers[Customer ID],customers[City])</f>
        <v>Columbus</v>
      </c>
    </row>
    <row r="763" spans="2:16" x14ac:dyDescent="0.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s="22" t="str">
        <f>IF(calls[[#This Row],[Rating rounded]]&gt;=4,"Happy")</f>
        <v>Happy</v>
      </c>
      <c r="N763" s="22" t="str">
        <f>_xlfn.XLOOKUP(calls[[#This Row],[Customer ID]],customers[Customer ID],customers[Gedner])</f>
        <v>Male</v>
      </c>
      <c r="O763" s="22">
        <f>_xlfn.XLOOKUP(calls[[#This Row],[Customer ID]],customers[Customer ID],customers[Age])</f>
        <v>41</v>
      </c>
      <c r="P763" s="22" t="str">
        <f>_xlfn.XLOOKUP(calls[[#This Row],[Customer ID]],customers[Customer ID],customers[City])</f>
        <v>Columbus</v>
      </c>
    </row>
    <row r="764" spans="2:16" x14ac:dyDescent="0.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s="22" t="str">
        <f>IF(calls[[#This Row],[Rating rounded]]&gt;=4,"Happy")</f>
        <v>Happy</v>
      </c>
      <c r="N764" s="22" t="str">
        <f>_xlfn.XLOOKUP(calls[[#This Row],[Customer ID]],customers[Customer ID],customers[Gedner])</f>
        <v>Male</v>
      </c>
      <c r="O764" s="22">
        <f>_xlfn.XLOOKUP(calls[[#This Row],[Customer ID]],customers[Customer ID],customers[Age])</f>
        <v>23</v>
      </c>
      <c r="P764" s="22" t="str">
        <f>_xlfn.XLOOKUP(calls[[#This Row],[Customer ID]],customers[Customer ID],customers[City])</f>
        <v>Columbus</v>
      </c>
    </row>
    <row r="765" spans="2:16" x14ac:dyDescent="0.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s="22" t="str">
        <f>IF(calls[[#This Row],[Rating rounded]]&gt;=4,"Happy")</f>
        <v>Happy</v>
      </c>
      <c r="N765" s="22" t="str">
        <f>_xlfn.XLOOKUP(calls[[#This Row],[Customer ID]],customers[Customer ID],customers[Gedner])</f>
        <v>Male</v>
      </c>
      <c r="O765" s="22">
        <f>_xlfn.XLOOKUP(calls[[#This Row],[Customer ID]],customers[Customer ID],customers[Age])</f>
        <v>37</v>
      </c>
      <c r="P765" s="22" t="str">
        <f>_xlfn.XLOOKUP(calls[[#This Row],[Customer ID]],customers[Customer ID],customers[City])</f>
        <v>Columbus</v>
      </c>
    </row>
    <row r="766" spans="2:16" x14ac:dyDescent="0.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s="22" t="b">
        <f>IF(calls[[#This Row],[Rating rounded]]&gt;=4,"Happy")</f>
        <v>0</v>
      </c>
      <c r="N766" s="22" t="str">
        <f>_xlfn.XLOOKUP(calls[[#This Row],[Customer ID]],customers[Customer ID],customers[Gedner])</f>
        <v>Male</v>
      </c>
      <c r="O766" s="22">
        <f>_xlfn.XLOOKUP(calls[[#This Row],[Customer ID]],customers[Customer ID],customers[Age])</f>
        <v>23</v>
      </c>
      <c r="P766" s="22" t="str">
        <f>_xlfn.XLOOKUP(calls[[#This Row],[Customer ID]],customers[Customer ID],customers[City])</f>
        <v>Columbus</v>
      </c>
    </row>
    <row r="767" spans="2:16" x14ac:dyDescent="0.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s="22" t="b">
        <f>IF(calls[[#This Row],[Rating rounded]]&gt;=4,"Happy")</f>
        <v>0</v>
      </c>
      <c r="N767" s="22" t="str">
        <f>_xlfn.XLOOKUP(calls[[#This Row],[Customer ID]],customers[Customer ID],customers[Gedner])</f>
        <v>Female</v>
      </c>
      <c r="O767" s="22">
        <f>_xlfn.XLOOKUP(calls[[#This Row],[Customer ID]],customers[Customer ID],customers[Age])</f>
        <v>43</v>
      </c>
      <c r="P767" s="22" t="str">
        <f>_xlfn.XLOOKUP(calls[[#This Row],[Customer ID]],customers[Customer ID],customers[City])</f>
        <v>Cleveland</v>
      </c>
    </row>
    <row r="768" spans="2:16" x14ac:dyDescent="0.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s="22" t="str">
        <f>IF(calls[[#This Row],[Rating rounded]]&gt;=4,"Happy")</f>
        <v>Happy</v>
      </c>
      <c r="N768" s="22" t="str">
        <f>_xlfn.XLOOKUP(calls[[#This Row],[Customer ID]],customers[Customer ID],customers[Gedner])</f>
        <v>Female</v>
      </c>
      <c r="O768" s="22">
        <f>_xlfn.XLOOKUP(calls[[#This Row],[Customer ID]],customers[Customer ID],customers[Age])</f>
        <v>25</v>
      </c>
      <c r="P768" s="22" t="str">
        <f>_xlfn.XLOOKUP(calls[[#This Row],[Customer ID]],customers[Customer ID],customers[City])</f>
        <v>Columbus</v>
      </c>
    </row>
    <row r="769" spans="2:16" x14ac:dyDescent="0.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s="22" t="str">
        <f>IF(calls[[#This Row],[Rating rounded]]&gt;=4,"Happy")</f>
        <v>Happy</v>
      </c>
      <c r="N769" s="22" t="str">
        <f>_xlfn.XLOOKUP(calls[[#This Row],[Customer ID]],customers[Customer ID],customers[Gedner])</f>
        <v>Female</v>
      </c>
      <c r="O769" s="22">
        <f>_xlfn.XLOOKUP(calls[[#This Row],[Customer ID]],customers[Customer ID],customers[Age])</f>
        <v>42</v>
      </c>
      <c r="P769" s="22" t="str">
        <f>_xlfn.XLOOKUP(calls[[#This Row],[Customer ID]],customers[Customer ID],customers[City])</f>
        <v>Cleveland</v>
      </c>
    </row>
    <row r="770" spans="2:16" x14ac:dyDescent="0.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s="22" t="str">
        <f>IF(calls[[#This Row],[Rating rounded]]&gt;=4,"Happy")</f>
        <v>Happy</v>
      </c>
      <c r="N770" s="22" t="str">
        <f>_xlfn.XLOOKUP(calls[[#This Row],[Customer ID]],customers[Customer ID],customers[Gedner])</f>
        <v>Female</v>
      </c>
      <c r="O770" s="22">
        <f>_xlfn.XLOOKUP(calls[[#This Row],[Customer ID]],customers[Customer ID],customers[Age])</f>
        <v>43</v>
      </c>
      <c r="P770" s="22" t="str">
        <f>_xlfn.XLOOKUP(calls[[#This Row],[Customer ID]],customers[Customer ID],customers[City])</f>
        <v>Cleveland</v>
      </c>
    </row>
    <row r="771" spans="2:16" x14ac:dyDescent="0.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s="22" t="b">
        <f>IF(calls[[#This Row],[Rating rounded]]&gt;=4,"Happy")</f>
        <v>0</v>
      </c>
      <c r="N771" s="22" t="str">
        <f>_xlfn.XLOOKUP(calls[[#This Row],[Customer ID]],customers[Customer ID],customers[Gedner])</f>
        <v>Male</v>
      </c>
      <c r="O771" s="22">
        <f>_xlfn.XLOOKUP(calls[[#This Row],[Customer ID]],customers[Customer ID],customers[Age])</f>
        <v>36</v>
      </c>
      <c r="P771" s="22" t="str">
        <f>_xlfn.XLOOKUP(calls[[#This Row],[Customer ID]],customers[Customer ID],customers[City])</f>
        <v>Cincinnati</v>
      </c>
    </row>
    <row r="772" spans="2:16" x14ac:dyDescent="0.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s="22" t="b">
        <f>IF(calls[[#This Row],[Rating rounded]]&gt;=4,"Happy")</f>
        <v>0</v>
      </c>
      <c r="N772" s="22" t="str">
        <f>_xlfn.XLOOKUP(calls[[#This Row],[Customer ID]],customers[Customer ID],customers[Gedner])</f>
        <v>Female</v>
      </c>
      <c r="O772" s="22">
        <f>_xlfn.XLOOKUP(calls[[#This Row],[Customer ID]],customers[Customer ID],customers[Age])</f>
        <v>25</v>
      </c>
      <c r="P772" s="22" t="str">
        <f>_xlfn.XLOOKUP(calls[[#This Row],[Customer ID]],customers[Customer ID],customers[City])</f>
        <v>Columbus</v>
      </c>
    </row>
    <row r="773" spans="2:16" x14ac:dyDescent="0.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s="22" t="b">
        <f>IF(calls[[#This Row],[Rating rounded]]&gt;=4,"Happy")</f>
        <v>0</v>
      </c>
      <c r="N773" s="22" t="str">
        <f>_xlfn.XLOOKUP(calls[[#This Row],[Customer ID]],customers[Customer ID],customers[Gedner])</f>
        <v>Male</v>
      </c>
      <c r="O773" s="22">
        <f>_xlfn.XLOOKUP(calls[[#This Row],[Customer ID]],customers[Customer ID],customers[Age])</f>
        <v>36</v>
      </c>
      <c r="P773" s="22" t="str">
        <f>_xlfn.XLOOKUP(calls[[#This Row],[Customer ID]],customers[Customer ID],customers[City])</f>
        <v>Cincinnati</v>
      </c>
    </row>
    <row r="774" spans="2:16" x14ac:dyDescent="0.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s="22" t="b">
        <f>IF(calls[[#This Row],[Rating rounded]]&gt;=4,"Happy")</f>
        <v>0</v>
      </c>
      <c r="N774" s="22" t="str">
        <f>_xlfn.XLOOKUP(calls[[#This Row],[Customer ID]],customers[Customer ID],customers[Gedner])</f>
        <v>Female</v>
      </c>
      <c r="O774" s="22">
        <f>_xlfn.XLOOKUP(calls[[#This Row],[Customer ID]],customers[Customer ID],customers[Age])</f>
        <v>30</v>
      </c>
      <c r="P774" s="22" t="str">
        <f>_xlfn.XLOOKUP(calls[[#This Row],[Customer ID]],customers[Customer ID],customers[City])</f>
        <v>Cincinnati</v>
      </c>
    </row>
    <row r="775" spans="2:16" x14ac:dyDescent="0.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s="22" t="str">
        <f>IF(calls[[#This Row],[Rating rounded]]&gt;=4,"Happy")</f>
        <v>Happy</v>
      </c>
      <c r="N775" s="22" t="str">
        <f>_xlfn.XLOOKUP(calls[[#This Row],[Customer ID]],customers[Customer ID],customers[Gedner])</f>
        <v>Female</v>
      </c>
      <c r="O775" s="22">
        <f>_xlfn.XLOOKUP(calls[[#This Row],[Customer ID]],customers[Customer ID],customers[Age])</f>
        <v>38</v>
      </c>
      <c r="P775" s="22" t="str">
        <f>_xlfn.XLOOKUP(calls[[#This Row],[Customer ID]],customers[Customer ID],customers[City])</f>
        <v>Columbus</v>
      </c>
    </row>
    <row r="776" spans="2:16" x14ac:dyDescent="0.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s="22" t="b">
        <f>IF(calls[[#This Row],[Rating rounded]]&gt;=4,"Happy")</f>
        <v>0</v>
      </c>
      <c r="N776" s="22" t="str">
        <f>_xlfn.XLOOKUP(calls[[#This Row],[Customer ID]],customers[Customer ID],customers[Gedner])</f>
        <v>Female</v>
      </c>
      <c r="O776" s="22">
        <f>_xlfn.XLOOKUP(calls[[#This Row],[Customer ID]],customers[Customer ID],customers[Age])</f>
        <v>43</v>
      </c>
      <c r="P776" s="22" t="str">
        <f>_xlfn.XLOOKUP(calls[[#This Row],[Customer ID]],customers[Customer ID],customers[City])</f>
        <v>Cleveland</v>
      </c>
    </row>
    <row r="777" spans="2:16" x14ac:dyDescent="0.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s="22" t="str">
        <f>IF(calls[[#This Row],[Rating rounded]]&gt;=4,"Happy")</f>
        <v>Happy</v>
      </c>
      <c r="N777" s="22" t="str">
        <f>_xlfn.XLOOKUP(calls[[#This Row],[Customer ID]],customers[Customer ID],customers[Gedner])</f>
        <v>Female</v>
      </c>
      <c r="O777" s="22">
        <f>_xlfn.XLOOKUP(calls[[#This Row],[Customer ID]],customers[Customer ID],customers[Age])</f>
        <v>42</v>
      </c>
      <c r="P777" s="22" t="str">
        <f>_xlfn.XLOOKUP(calls[[#This Row],[Customer ID]],customers[Customer ID],customers[City])</f>
        <v>Cleveland</v>
      </c>
    </row>
    <row r="778" spans="2:16" x14ac:dyDescent="0.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s="22" t="str">
        <f>IF(calls[[#This Row],[Rating rounded]]&gt;=4,"Happy")</f>
        <v>Happy</v>
      </c>
      <c r="N778" s="22" t="str">
        <f>_xlfn.XLOOKUP(calls[[#This Row],[Customer ID]],customers[Customer ID],customers[Gedner])</f>
        <v>Female</v>
      </c>
      <c r="O778" s="22">
        <f>_xlfn.XLOOKUP(calls[[#This Row],[Customer ID]],customers[Customer ID],customers[Age])</f>
        <v>30</v>
      </c>
      <c r="P778" s="22" t="str">
        <f>_xlfn.XLOOKUP(calls[[#This Row],[Customer ID]],customers[Customer ID],customers[City])</f>
        <v>Cincinnati</v>
      </c>
    </row>
    <row r="779" spans="2:16" x14ac:dyDescent="0.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s="22" t="str">
        <f>IF(calls[[#This Row],[Rating rounded]]&gt;=4,"Happy")</f>
        <v>Happy</v>
      </c>
      <c r="N779" s="22" t="str">
        <f>_xlfn.XLOOKUP(calls[[#This Row],[Customer ID]],customers[Customer ID],customers[Gedner])</f>
        <v>Male</v>
      </c>
      <c r="O779" s="22">
        <f>_xlfn.XLOOKUP(calls[[#This Row],[Customer ID]],customers[Customer ID],customers[Age])</f>
        <v>31</v>
      </c>
      <c r="P779" s="22" t="str">
        <f>_xlfn.XLOOKUP(calls[[#This Row],[Customer ID]],customers[Customer ID],customers[City])</f>
        <v>Cleveland</v>
      </c>
    </row>
    <row r="780" spans="2:16" x14ac:dyDescent="0.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s="22" t="b">
        <f>IF(calls[[#This Row],[Rating rounded]]&gt;=4,"Happy")</f>
        <v>0</v>
      </c>
      <c r="N780" s="22" t="str">
        <f>_xlfn.XLOOKUP(calls[[#This Row],[Customer ID]],customers[Customer ID],customers[Gedner])</f>
        <v>Male</v>
      </c>
      <c r="O780" s="22">
        <f>_xlfn.XLOOKUP(calls[[#This Row],[Customer ID]],customers[Customer ID],customers[Age])</f>
        <v>23</v>
      </c>
      <c r="P780" s="22" t="str">
        <f>_xlfn.XLOOKUP(calls[[#This Row],[Customer ID]],customers[Customer ID],customers[City])</f>
        <v>Columbus</v>
      </c>
    </row>
    <row r="781" spans="2:16" x14ac:dyDescent="0.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s="22" t="str">
        <f>IF(calls[[#This Row],[Rating rounded]]&gt;=4,"Happy")</f>
        <v>Happy</v>
      </c>
      <c r="N781" s="22" t="str">
        <f>_xlfn.XLOOKUP(calls[[#This Row],[Customer ID]],customers[Customer ID],customers[Gedner])</f>
        <v>Male</v>
      </c>
      <c r="O781" s="22">
        <f>_xlfn.XLOOKUP(calls[[#This Row],[Customer ID]],customers[Customer ID],customers[Age])</f>
        <v>41</v>
      </c>
      <c r="P781" s="22" t="str">
        <f>_xlfn.XLOOKUP(calls[[#This Row],[Customer ID]],customers[Customer ID],customers[City])</f>
        <v>Columbus</v>
      </c>
    </row>
    <row r="782" spans="2:16" x14ac:dyDescent="0.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s="22" t="str">
        <f>IF(calls[[#This Row],[Rating rounded]]&gt;=4,"Happy")</f>
        <v>Happy</v>
      </c>
      <c r="N782" s="22" t="str">
        <f>_xlfn.XLOOKUP(calls[[#This Row],[Customer ID]],customers[Customer ID],customers[Gedner])</f>
        <v>Female</v>
      </c>
      <c r="O782" s="22">
        <f>_xlfn.XLOOKUP(calls[[#This Row],[Customer ID]],customers[Customer ID],customers[Age])</f>
        <v>37</v>
      </c>
      <c r="P782" s="22" t="str">
        <f>_xlfn.XLOOKUP(calls[[#This Row],[Customer ID]],customers[Customer ID],customers[City])</f>
        <v>Cleveland</v>
      </c>
    </row>
    <row r="783" spans="2:16" x14ac:dyDescent="0.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s="22" t="str">
        <f>IF(calls[[#This Row],[Rating rounded]]&gt;=4,"Happy")</f>
        <v>Happy</v>
      </c>
      <c r="N783" s="22" t="str">
        <f>_xlfn.XLOOKUP(calls[[#This Row],[Customer ID]],customers[Customer ID],customers[Gedner])</f>
        <v>Female</v>
      </c>
      <c r="O783" s="22">
        <f>_xlfn.XLOOKUP(calls[[#This Row],[Customer ID]],customers[Customer ID],customers[Age])</f>
        <v>43</v>
      </c>
      <c r="P783" s="22" t="str">
        <f>_xlfn.XLOOKUP(calls[[#This Row],[Customer ID]],customers[Customer ID],customers[City])</f>
        <v>Cleveland</v>
      </c>
    </row>
    <row r="784" spans="2:16" x14ac:dyDescent="0.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s="22" t="b">
        <f>IF(calls[[#This Row],[Rating rounded]]&gt;=4,"Happy")</f>
        <v>0</v>
      </c>
      <c r="N784" s="22" t="str">
        <f>_xlfn.XLOOKUP(calls[[#This Row],[Customer ID]],customers[Customer ID],customers[Gedner])</f>
        <v>Female</v>
      </c>
      <c r="O784" s="22">
        <f>_xlfn.XLOOKUP(calls[[#This Row],[Customer ID]],customers[Customer ID],customers[Age])</f>
        <v>30</v>
      </c>
      <c r="P784" s="22" t="str">
        <f>_xlfn.XLOOKUP(calls[[#This Row],[Customer ID]],customers[Customer ID],customers[City])</f>
        <v>Cleveland</v>
      </c>
    </row>
    <row r="785" spans="2:16" x14ac:dyDescent="0.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s="22" t="str">
        <f>IF(calls[[#This Row],[Rating rounded]]&gt;=4,"Happy")</f>
        <v>Happy</v>
      </c>
      <c r="N785" s="22" t="str">
        <f>_xlfn.XLOOKUP(calls[[#This Row],[Customer ID]],customers[Customer ID],customers[Gedner])</f>
        <v>Female</v>
      </c>
      <c r="O785" s="22">
        <f>_xlfn.XLOOKUP(calls[[#This Row],[Customer ID]],customers[Customer ID],customers[Age])</f>
        <v>22</v>
      </c>
      <c r="P785" s="22" t="str">
        <f>_xlfn.XLOOKUP(calls[[#This Row],[Customer ID]],customers[Customer ID],customers[City])</f>
        <v>Cleveland</v>
      </c>
    </row>
    <row r="786" spans="2:16" x14ac:dyDescent="0.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s="22" t="str">
        <f>IF(calls[[#This Row],[Rating rounded]]&gt;=4,"Happy")</f>
        <v>Happy</v>
      </c>
      <c r="N786" s="22" t="str">
        <f>_xlfn.XLOOKUP(calls[[#This Row],[Customer ID]],customers[Customer ID],customers[Gedner])</f>
        <v>Female</v>
      </c>
      <c r="O786" s="22">
        <f>_xlfn.XLOOKUP(calls[[#This Row],[Customer ID]],customers[Customer ID],customers[Age])</f>
        <v>30</v>
      </c>
      <c r="P786" s="22" t="str">
        <f>_xlfn.XLOOKUP(calls[[#This Row],[Customer ID]],customers[Customer ID],customers[City])</f>
        <v>Cincinnati</v>
      </c>
    </row>
    <row r="787" spans="2:16" x14ac:dyDescent="0.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s="22" t="str">
        <f>IF(calls[[#This Row],[Rating rounded]]&gt;=4,"Happy")</f>
        <v>Happy</v>
      </c>
      <c r="N787" s="22" t="str">
        <f>_xlfn.XLOOKUP(calls[[#This Row],[Customer ID]],customers[Customer ID],customers[Gedner])</f>
        <v>Female</v>
      </c>
      <c r="O787" s="22">
        <f>_xlfn.XLOOKUP(calls[[#This Row],[Customer ID]],customers[Customer ID],customers[Age])</f>
        <v>42</v>
      </c>
      <c r="P787" s="22" t="str">
        <f>_xlfn.XLOOKUP(calls[[#This Row],[Customer ID]],customers[Customer ID],customers[City])</f>
        <v>Cleveland</v>
      </c>
    </row>
    <row r="788" spans="2:16" x14ac:dyDescent="0.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s="22" t="str">
        <f>IF(calls[[#This Row],[Rating rounded]]&gt;=4,"Happy")</f>
        <v>Happy</v>
      </c>
      <c r="N788" s="22" t="str">
        <f>_xlfn.XLOOKUP(calls[[#This Row],[Customer ID]],customers[Customer ID],customers[Gedner])</f>
        <v>Female</v>
      </c>
      <c r="O788" s="22">
        <f>_xlfn.XLOOKUP(calls[[#This Row],[Customer ID]],customers[Customer ID],customers[Age])</f>
        <v>42</v>
      </c>
      <c r="P788" s="22" t="str">
        <f>_xlfn.XLOOKUP(calls[[#This Row],[Customer ID]],customers[Customer ID],customers[City])</f>
        <v>Cleveland</v>
      </c>
    </row>
    <row r="789" spans="2:16" x14ac:dyDescent="0.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s="22" t="str">
        <f>IF(calls[[#This Row],[Rating rounded]]&gt;=4,"Happy")</f>
        <v>Happy</v>
      </c>
      <c r="N789" s="22" t="str">
        <f>_xlfn.XLOOKUP(calls[[#This Row],[Customer ID]],customers[Customer ID],customers[Gedner])</f>
        <v>Female</v>
      </c>
      <c r="O789" s="22">
        <f>_xlfn.XLOOKUP(calls[[#This Row],[Customer ID]],customers[Customer ID],customers[Age])</f>
        <v>22</v>
      </c>
      <c r="P789" s="22" t="str">
        <f>_xlfn.XLOOKUP(calls[[#This Row],[Customer ID]],customers[Customer ID],customers[City])</f>
        <v>Cleveland</v>
      </c>
    </row>
    <row r="790" spans="2:16" x14ac:dyDescent="0.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s="22" t="b">
        <f>IF(calls[[#This Row],[Rating rounded]]&gt;=4,"Happy")</f>
        <v>0</v>
      </c>
      <c r="N790" s="22" t="str">
        <f>_xlfn.XLOOKUP(calls[[#This Row],[Customer ID]],customers[Customer ID],customers[Gedner])</f>
        <v>Female</v>
      </c>
      <c r="O790" s="22">
        <f>_xlfn.XLOOKUP(calls[[#This Row],[Customer ID]],customers[Customer ID],customers[Age])</f>
        <v>25</v>
      </c>
      <c r="P790" s="22" t="str">
        <f>_xlfn.XLOOKUP(calls[[#This Row],[Customer ID]],customers[Customer ID],customers[City])</f>
        <v>Columbus</v>
      </c>
    </row>
    <row r="791" spans="2:16" x14ac:dyDescent="0.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s="22" t="str">
        <f>IF(calls[[#This Row],[Rating rounded]]&gt;=4,"Happy")</f>
        <v>Happy</v>
      </c>
      <c r="N791" s="22" t="str">
        <f>_xlfn.XLOOKUP(calls[[#This Row],[Customer ID]],customers[Customer ID],customers[Gedner])</f>
        <v>Female</v>
      </c>
      <c r="O791" s="22">
        <f>_xlfn.XLOOKUP(calls[[#This Row],[Customer ID]],customers[Customer ID],customers[Age])</f>
        <v>38</v>
      </c>
      <c r="P791" s="22" t="str">
        <f>_xlfn.XLOOKUP(calls[[#This Row],[Customer ID]],customers[Customer ID],customers[City])</f>
        <v>Columbus</v>
      </c>
    </row>
    <row r="792" spans="2:16" x14ac:dyDescent="0.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s="22" t="b">
        <f>IF(calls[[#This Row],[Rating rounded]]&gt;=4,"Happy")</f>
        <v>0</v>
      </c>
      <c r="N792" s="22" t="str">
        <f>_xlfn.XLOOKUP(calls[[#This Row],[Customer ID]],customers[Customer ID],customers[Gedner])</f>
        <v>Male</v>
      </c>
      <c r="O792" s="22">
        <f>_xlfn.XLOOKUP(calls[[#This Row],[Customer ID]],customers[Customer ID],customers[Age])</f>
        <v>41</v>
      </c>
      <c r="P792" s="22" t="str">
        <f>_xlfn.XLOOKUP(calls[[#This Row],[Customer ID]],customers[Customer ID],customers[City])</f>
        <v>Columbus</v>
      </c>
    </row>
    <row r="793" spans="2:16" x14ac:dyDescent="0.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s="22" t="str">
        <f>IF(calls[[#This Row],[Rating rounded]]&gt;=4,"Happy")</f>
        <v>Happy</v>
      </c>
      <c r="N793" s="22" t="str">
        <f>_xlfn.XLOOKUP(calls[[#This Row],[Customer ID]],customers[Customer ID],customers[Gedner])</f>
        <v>Male</v>
      </c>
      <c r="O793" s="22">
        <f>_xlfn.XLOOKUP(calls[[#This Row],[Customer ID]],customers[Customer ID],customers[Age])</f>
        <v>31</v>
      </c>
      <c r="P793" s="22" t="str">
        <f>_xlfn.XLOOKUP(calls[[#This Row],[Customer ID]],customers[Customer ID],customers[City])</f>
        <v>Cleveland</v>
      </c>
    </row>
    <row r="794" spans="2:16" x14ac:dyDescent="0.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s="22" t="str">
        <f>IF(calls[[#This Row],[Rating rounded]]&gt;=4,"Happy")</f>
        <v>Happy</v>
      </c>
      <c r="N794" s="22" t="str">
        <f>_xlfn.XLOOKUP(calls[[#This Row],[Customer ID]],customers[Customer ID],customers[Gedner])</f>
        <v>Female</v>
      </c>
      <c r="O794" s="22">
        <f>_xlfn.XLOOKUP(calls[[#This Row],[Customer ID]],customers[Customer ID],customers[Age])</f>
        <v>25</v>
      </c>
      <c r="P794" s="22" t="str">
        <f>_xlfn.XLOOKUP(calls[[#This Row],[Customer ID]],customers[Customer ID],customers[City])</f>
        <v>Columbus</v>
      </c>
    </row>
    <row r="795" spans="2:16" x14ac:dyDescent="0.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s="22" t="str">
        <f>IF(calls[[#This Row],[Rating rounded]]&gt;=4,"Happy")</f>
        <v>Happy</v>
      </c>
      <c r="N795" s="22" t="str">
        <f>_xlfn.XLOOKUP(calls[[#This Row],[Customer ID]],customers[Customer ID],customers[Gedner])</f>
        <v>Female</v>
      </c>
      <c r="O795" s="22">
        <f>_xlfn.XLOOKUP(calls[[#This Row],[Customer ID]],customers[Customer ID],customers[Age])</f>
        <v>22</v>
      </c>
      <c r="P795" s="22" t="str">
        <f>_xlfn.XLOOKUP(calls[[#This Row],[Customer ID]],customers[Customer ID],customers[City])</f>
        <v>Cleveland</v>
      </c>
    </row>
    <row r="796" spans="2:16" x14ac:dyDescent="0.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s="22" t="b">
        <f>IF(calls[[#This Row],[Rating rounded]]&gt;=4,"Happy")</f>
        <v>0</v>
      </c>
      <c r="N796" s="22" t="str">
        <f>_xlfn.XLOOKUP(calls[[#This Row],[Customer ID]],customers[Customer ID],customers[Gedner])</f>
        <v>Female</v>
      </c>
      <c r="O796" s="22">
        <f>_xlfn.XLOOKUP(calls[[#This Row],[Customer ID]],customers[Customer ID],customers[Age])</f>
        <v>30</v>
      </c>
      <c r="P796" s="22" t="str">
        <f>_xlfn.XLOOKUP(calls[[#This Row],[Customer ID]],customers[Customer ID],customers[City])</f>
        <v>Cincinnati</v>
      </c>
    </row>
    <row r="797" spans="2:16" x14ac:dyDescent="0.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s="22" t="str">
        <f>IF(calls[[#This Row],[Rating rounded]]&gt;=4,"Happy")</f>
        <v>Happy</v>
      </c>
      <c r="N797" s="22" t="str">
        <f>_xlfn.XLOOKUP(calls[[#This Row],[Customer ID]],customers[Customer ID],customers[Gedner])</f>
        <v>Female</v>
      </c>
      <c r="O797" s="22">
        <f>_xlfn.XLOOKUP(calls[[#This Row],[Customer ID]],customers[Customer ID],customers[Age])</f>
        <v>28</v>
      </c>
      <c r="P797" s="22" t="str">
        <f>_xlfn.XLOOKUP(calls[[#This Row],[Customer ID]],customers[Customer ID],customers[City])</f>
        <v>Cincinnati</v>
      </c>
    </row>
    <row r="798" spans="2:16" x14ac:dyDescent="0.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s="22" t="str">
        <f>IF(calls[[#This Row],[Rating rounded]]&gt;=4,"Happy")</f>
        <v>Happy</v>
      </c>
      <c r="N798" s="22" t="str">
        <f>_xlfn.XLOOKUP(calls[[#This Row],[Customer ID]],customers[Customer ID],customers[Gedner])</f>
        <v>Female</v>
      </c>
      <c r="O798" s="22">
        <f>_xlfn.XLOOKUP(calls[[#This Row],[Customer ID]],customers[Customer ID],customers[Age])</f>
        <v>38</v>
      </c>
      <c r="P798" s="22" t="str">
        <f>_xlfn.XLOOKUP(calls[[#This Row],[Customer ID]],customers[Customer ID],customers[City])</f>
        <v>Columbus</v>
      </c>
    </row>
    <row r="799" spans="2:16" x14ac:dyDescent="0.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s="22" t="b">
        <f>IF(calls[[#This Row],[Rating rounded]]&gt;=4,"Happy")</f>
        <v>0</v>
      </c>
      <c r="N799" s="22" t="str">
        <f>_xlfn.XLOOKUP(calls[[#This Row],[Customer ID]],customers[Customer ID],customers[Gedner])</f>
        <v>Female</v>
      </c>
      <c r="O799" s="22">
        <f>_xlfn.XLOOKUP(calls[[#This Row],[Customer ID]],customers[Customer ID],customers[Age])</f>
        <v>37</v>
      </c>
      <c r="P799" s="22" t="str">
        <f>_xlfn.XLOOKUP(calls[[#This Row],[Customer ID]],customers[Customer ID],customers[City])</f>
        <v>Cleveland</v>
      </c>
    </row>
    <row r="800" spans="2:16" x14ac:dyDescent="0.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s="22" t="str">
        <f>IF(calls[[#This Row],[Rating rounded]]&gt;=4,"Happy")</f>
        <v>Happy</v>
      </c>
      <c r="N800" s="22" t="str">
        <f>_xlfn.XLOOKUP(calls[[#This Row],[Customer ID]],customers[Customer ID],customers[Gedner])</f>
        <v>Female</v>
      </c>
      <c r="O800" s="22">
        <f>_xlfn.XLOOKUP(calls[[#This Row],[Customer ID]],customers[Customer ID],customers[Age])</f>
        <v>30</v>
      </c>
      <c r="P800" s="22" t="str">
        <f>_xlfn.XLOOKUP(calls[[#This Row],[Customer ID]],customers[Customer ID],customers[City])</f>
        <v>Cleveland</v>
      </c>
    </row>
    <row r="801" spans="2:16" x14ac:dyDescent="0.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s="22" t="str">
        <f>IF(calls[[#This Row],[Rating rounded]]&gt;=4,"Happy")</f>
        <v>Happy</v>
      </c>
      <c r="N801" s="22" t="str">
        <f>_xlfn.XLOOKUP(calls[[#This Row],[Customer ID]],customers[Customer ID],customers[Gedner])</f>
        <v>Female</v>
      </c>
      <c r="O801" s="22">
        <f>_xlfn.XLOOKUP(calls[[#This Row],[Customer ID]],customers[Customer ID],customers[Age])</f>
        <v>25</v>
      </c>
      <c r="P801" s="22" t="str">
        <f>_xlfn.XLOOKUP(calls[[#This Row],[Customer ID]],customers[Customer ID],customers[City])</f>
        <v>Columbus</v>
      </c>
    </row>
    <row r="802" spans="2:16" x14ac:dyDescent="0.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s="22" t="str">
        <f>IF(calls[[#This Row],[Rating rounded]]&gt;=4,"Happy")</f>
        <v>Happy</v>
      </c>
      <c r="N802" s="22" t="str">
        <f>_xlfn.XLOOKUP(calls[[#This Row],[Customer ID]],customers[Customer ID],customers[Gedner])</f>
        <v>Female</v>
      </c>
      <c r="O802" s="22">
        <f>_xlfn.XLOOKUP(calls[[#This Row],[Customer ID]],customers[Customer ID],customers[Age])</f>
        <v>30</v>
      </c>
      <c r="P802" s="22" t="str">
        <f>_xlfn.XLOOKUP(calls[[#This Row],[Customer ID]],customers[Customer ID],customers[City])</f>
        <v>Cincinnati</v>
      </c>
    </row>
    <row r="803" spans="2:16" x14ac:dyDescent="0.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s="22" t="str">
        <f>IF(calls[[#This Row],[Rating rounded]]&gt;=4,"Happy")</f>
        <v>Happy</v>
      </c>
      <c r="N803" s="22" t="str">
        <f>_xlfn.XLOOKUP(calls[[#This Row],[Customer ID]],customers[Customer ID],customers[Gedner])</f>
        <v>Male</v>
      </c>
      <c r="O803" s="22">
        <f>_xlfn.XLOOKUP(calls[[#This Row],[Customer ID]],customers[Customer ID],customers[Age])</f>
        <v>41</v>
      </c>
      <c r="P803" s="22" t="str">
        <f>_xlfn.XLOOKUP(calls[[#This Row],[Customer ID]],customers[Customer ID],customers[City])</f>
        <v>Columbus</v>
      </c>
    </row>
    <row r="804" spans="2:16" x14ac:dyDescent="0.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s="22" t="b">
        <f>IF(calls[[#This Row],[Rating rounded]]&gt;=4,"Happy")</f>
        <v>0</v>
      </c>
      <c r="N804" s="22" t="str">
        <f>_xlfn.XLOOKUP(calls[[#This Row],[Customer ID]],customers[Customer ID],customers[Gedner])</f>
        <v>Male</v>
      </c>
      <c r="O804" s="22">
        <f>_xlfn.XLOOKUP(calls[[#This Row],[Customer ID]],customers[Customer ID],customers[Age])</f>
        <v>23</v>
      </c>
      <c r="P804" s="22" t="str">
        <f>_xlfn.XLOOKUP(calls[[#This Row],[Customer ID]],customers[Customer ID],customers[City])</f>
        <v>Columbus</v>
      </c>
    </row>
    <row r="805" spans="2:16" x14ac:dyDescent="0.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s="22" t="str">
        <f>IF(calls[[#This Row],[Rating rounded]]&gt;=4,"Happy")</f>
        <v>Happy</v>
      </c>
      <c r="N805" s="22" t="str">
        <f>_xlfn.XLOOKUP(calls[[#This Row],[Customer ID]],customers[Customer ID],customers[Gedner])</f>
        <v>Female</v>
      </c>
      <c r="O805" s="22">
        <f>_xlfn.XLOOKUP(calls[[#This Row],[Customer ID]],customers[Customer ID],customers[Age])</f>
        <v>22</v>
      </c>
      <c r="P805" s="22" t="str">
        <f>_xlfn.XLOOKUP(calls[[#This Row],[Customer ID]],customers[Customer ID],customers[City])</f>
        <v>Cleveland</v>
      </c>
    </row>
    <row r="806" spans="2:16" x14ac:dyDescent="0.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s="22" t="b">
        <f>IF(calls[[#This Row],[Rating rounded]]&gt;=4,"Happy")</f>
        <v>0</v>
      </c>
      <c r="N806" s="22" t="str">
        <f>_xlfn.XLOOKUP(calls[[#This Row],[Customer ID]],customers[Customer ID],customers[Gedner])</f>
        <v>Male</v>
      </c>
      <c r="O806" s="22">
        <f>_xlfn.XLOOKUP(calls[[#This Row],[Customer ID]],customers[Customer ID],customers[Age])</f>
        <v>23</v>
      </c>
      <c r="P806" s="22" t="str">
        <f>_xlfn.XLOOKUP(calls[[#This Row],[Customer ID]],customers[Customer ID],customers[City])</f>
        <v>Columbus</v>
      </c>
    </row>
    <row r="807" spans="2:16" x14ac:dyDescent="0.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s="22" t="str">
        <f>IF(calls[[#This Row],[Rating rounded]]&gt;=4,"Happy")</f>
        <v>Happy</v>
      </c>
      <c r="N807" s="22" t="str">
        <f>_xlfn.XLOOKUP(calls[[#This Row],[Customer ID]],customers[Customer ID],customers[Gedner])</f>
        <v>Male</v>
      </c>
      <c r="O807" s="22">
        <f>_xlfn.XLOOKUP(calls[[#This Row],[Customer ID]],customers[Customer ID],customers[Age])</f>
        <v>36</v>
      </c>
      <c r="P807" s="22" t="str">
        <f>_xlfn.XLOOKUP(calls[[#This Row],[Customer ID]],customers[Customer ID],customers[City])</f>
        <v>Cincinnati</v>
      </c>
    </row>
    <row r="808" spans="2:16" x14ac:dyDescent="0.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s="22" t="str">
        <f>IF(calls[[#This Row],[Rating rounded]]&gt;=4,"Happy")</f>
        <v>Happy</v>
      </c>
      <c r="N808" s="22" t="str">
        <f>_xlfn.XLOOKUP(calls[[#This Row],[Customer ID]],customers[Customer ID],customers[Gedner])</f>
        <v>Male</v>
      </c>
      <c r="O808" s="22">
        <f>_xlfn.XLOOKUP(calls[[#This Row],[Customer ID]],customers[Customer ID],customers[Age])</f>
        <v>37</v>
      </c>
      <c r="P808" s="22" t="str">
        <f>_xlfn.XLOOKUP(calls[[#This Row],[Customer ID]],customers[Customer ID],customers[City])</f>
        <v>Columbus</v>
      </c>
    </row>
    <row r="809" spans="2:16" x14ac:dyDescent="0.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s="22" t="str">
        <f>IF(calls[[#This Row],[Rating rounded]]&gt;=4,"Happy")</f>
        <v>Happy</v>
      </c>
      <c r="N809" s="22" t="str">
        <f>_xlfn.XLOOKUP(calls[[#This Row],[Customer ID]],customers[Customer ID],customers[Gedner])</f>
        <v>Male</v>
      </c>
      <c r="O809" s="22">
        <f>_xlfn.XLOOKUP(calls[[#This Row],[Customer ID]],customers[Customer ID],customers[Age])</f>
        <v>37</v>
      </c>
      <c r="P809" s="22" t="str">
        <f>_xlfn.XLOOKUP(calls[[#This Row],[Customer ID]],customers[Customer ID],customers[City])</f>
        <v>Columbus</v>
      </c>
    </row>
    <row r="810" spans="2:16" x14ac:dyDescent="0.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s="22" t="str">
        <f>IF(calls[[#This Row],[Rating rounded]]&gt;=4,"Happy")</f>
        <v>Happy</v>
      </c>
      <c r="N810" s="22" t="str">
        <f>_xlfn.XLOOKUP(calls[[#This Row],[Customer ID]],customers[Customer ID],customers[Gedner])</f>
        <v>Female</v>
      </c>
      <c r="O810" s="22">
        <f>_xlfn.XLOOKUP(calls[[#This Row],[Customer ID]],customers[Customer ID],customers[Age])</f>
        <v>22</v>
      </c>
      <c r="P810" s="22" t="str">
        <f>_xlfn.XLOOKUP(calls[[#This Row],[Customer ID]],customers[Customer ID],customers[City])</f>
        <v>Cleveland</v>
      </c>
    </row>
    <row r="811" spans="2:16" x14ac:dyDescent="0.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s="22" t="str">
        <f>IF(calls[[#This Row],[Rating rounded]]&gt;=4,"Happy")</f>
        <v>Happy</v>
      </c>
      <c r="N811" s="22" t="str">
        <f>_xlfn.XLOOKUP(calls[[#This Row],[Customer ID]],customers[Customer ID],customers[Gedner])</f>
        <v>Female</v>
      </c>
      <c r="O811" s="22">
        <f>_xlfn.XLOOKUP(calls[[#This Row],[Customer ID]],customers[Customer ID],customers[Age])</f>
        <v>30</v>
      </c>
      <c r="P811" s="22" t="str">
        <f>_xlfn.XLOOKUP(calls[[#This Row],[Customer ID]],customers[Customer ID],customers[City])</f>
        <v>Cincinnati</v>
      </c>
    </row>
    <row r="812" spans="2:16" x14ac:dyDescent="0.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s="22" t="str">
        <f>IF(calls[[#This Row],[Rating rounded]]&gt;=4,"Happy")</f>
        <v>Happy</v>
      </c>
      <c r="N812" s="22" t="str">
        <f>_xlfn.XLOOKUP(calls[[#This Row],[Customer ID]],customers[Customer ID],customers[Gedner])</f>
        <v>Male</v>
      </c>
      <c r="O812" s="22">
        <f>_xlfn.XLOOKUP(calls[[#This Row],[Customer ID]],customers[Customer ID],customers[Age])</f>
        <v>31</v>
      </c>
      <c r="P812" s="22" t="str">
        <f>_xlfn.XLOOKUP(calls[[#This Row],[Customer ID]],customers[Customer ID],customers[City])</f>
        <v>Cleveland</v>
      </c>
    </row>
    <row r="813" spans="2:16" x14ac:dyDescent="0.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s="22" t="str">
        <f>IF(calls[[#This Row],[Rating rounded]]&gt;=4,"Happy")</f>
        <v>Happy</v>
      </c>
      <c r="N813" s="22" t="str">
        <f>_xlfn.XLOOKUP(calls[[#This Row],[Customer ID]],customers[Customer ID],customers[Gedner])</f>
        <v>Male</v>
      </c>
      <c r="O813" s="22">
        <f>_xlfn.XLOOKUP(calls[[#This Row],[Customer ID]],customers[Customer ID],customers[Age])</f>
        <v>37</v>
      </c>
      <c r="P813" s="22" t="str">
        <f>_xlfn.XLOOKUP(calls[[#This Row],[Customer ID]],customers[Customer ID],customers[City])</f>
        <v>Columbus</v>
      </c>
    </row>
    <row r="814" spans="2:16" x14ac:dyDescent="0.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s="22" t="b">
        <f>IF(calls[[#This Row],[Rating rounded]]&gt;=4,"Happy")</f>
        <v>0</v>
      </c>
      <c r="N814" s="22" t="str">
        <f>_xlfn.XLOOKUP(calls[[#This Row],[Customer ID]],customers[Customer ID],customers[Gedner])</f>
        <v>Female</v>
      </c>
      <c r="O814" s="22">
        <f>_xlfn.XLOOKUP(calls[[#This Row],[Customer ID]],customers[Customer ID],customers[Age])</f>
        <v>37</v>
      </c>
      <c r="P814" s="22" t="str">
        <f>_xlfn.XLOOKUP(calls[[#This Row],[Customer ID]],customers[Customer ID],customers[City])</f>
        <v>Cleveland</v>
      </c>
    </row>
    <row r="815" spans="2:16" x14ac:dyDescent="0.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s="22" t="b">
        <f>IF(calls[[#This Row],[Rating rounded]]&gt;=4,"Happy")</f>
        <v>0</v>
      </c>
      <c r="N815" s="22" t="str">
        <f>_xlfn.XLOOKUP(calls[[#This Row],[Customer ID]],customers[Customer ID],customers[Gedner])</f>
        <v>Female</v>
      </c>
      <c r="O815" s="22">
        <f>_xlfn.XLOOKUP(calls[[#This Row],[Customer ID]],customers[Customer ID],customers[Age])</f>
        <v>28</v>
      </c>
      <c r="P815" s="22" t="str">
        <f>_xlfn.XLOOKUP(calls[[#This Row],[Customer ID]],customers[Customer ID],customers[City])</f>
        <v>Cincinnati</v>
      </c>
    </row>
    <row r="816" spans="2:16" x14ac:dyDescent="0.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s="22" t="str">
        <f>IF(calls[[#This Row],[Rating rounded]]&gt;=4,"Happy")</f>
        <v>Happy</v>
      </c>
      <c r="N816" s="22" t="str">
        <f>_xlfn.XLOOKUP(calls[[#This Row],[Customer ID]],customers[Customer ID],customers[Gedner])</f>
        <v>Female</v>
      </c>
      <c r="O816" s="22">
        <f>_xlfn.XLOOKUP(calls[[#This Row],[Customer ID]],customers[Customer ID],customers[Age])</f>
        <v>25</v>
      </c>
      <c r="P816" s="22" t="str">
        <f>_xlfn.XLOOKUP(calls[[#This Row],[Customer ID]],customers[Customer ID],customers[City])</f>
        <v>Columbus</v>
      </c>
    </row>
    <row r="817" spans="2:16" x14ac:dyDescent="0.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s="22" t="str">
        <f>IF(calls[[#This Row],[Rating rounded]]&gt;=4,"Happy")</f>
        <v>Happy</v>
      </c>
      <c r="N817" s="22" t="str">
        <f>_xlfn.XLOOKUP(calls[[#This Row],[Customer ID]],customers[Customer ID],customers[Gedner])</f>
        <v>Female</v>
      </c>
      <c r="O817" s="22">
        <f>_xlfn.XLOOKUP(calls[[#This Row],[Customer ID]],customers[Customer ID],customers[Age])</f>
        <v>30</v>
      </c>
      <c r="P817" s="22" t="str">
        <f>_xlfn.XLOOKUP(calls[[#This Row],[Customer ID]],customers[Customer ID],customers[City])</f>
        <v>Cincinnati</v>
      </c>
    </row>
    <row r="818" spans="2:16" x14ac:dyDescent="0.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s="22" t="b">
        <f>IF(calls[[#This Row],[Rating rounded]]&gt;=4,"Happy")</f>
        <v>0</v>
      </c>
      <c r="N818" s="22" t="str">
        <f>_xlfn.XLOOKUP(calls[[#This Row],[Customer ID]],customers[Customer ID],customers[Gedner])</f>
        <v>Female</v>
      </c>
      <c r="O818" s="22">
        <f>_xlfn.XLOOKUP(calls[[#This Row],[Customer ID]],customers[Customer ID],customers[Age])</f>
        <v>38</v>
      </c>
      <c r="P818" s="22" t="str">
        <f>_xlfn.XLOOKUP(calls[[#This Row],[Customer ID]],customers[Customer ID],customers[City])</f>
        <v>Columbus</v>
      </c>
    </row>
    <row r="819" spans="2:16" x14ac:dyDescent="0.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s="22" t="str">
        <f>IF(calls[[#This Row],[Rating rounded]]&gt;=4,"Happy")</f>
        <v>Happy</v>
      </c>
      <c r="N819" s="22" t="str">
        <f>_xlfn.XLOOKUP(calls[[#This Row],[Customer ID]],customers[Customer ID],customers[Gedner])</f>
        <v>Male</v>
      </c>
      <c r="O819" s="22">
        <f>_xlfn.XLOOKUP(calls[[#This Row],[Customer ID]],customers[Customer ID],customers[Age])</f>
        <v>41</v>
      </c>
      <c r="P819" s="22" t="str">
        <f>_xlfn.XLOOKUP(calls[[#This Row],[Customer ID]],customers[Customer ID],customers[City])</f>
        <v>Columbus</v>
      </c>
    </row>
    <row r="820" spans="2:16" x14ac:dyDescent="0.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s="22" t="str">
        <f>IF(calls[[#This Row],[Rating rounded]]&gt;=4,"Happy")</f>
        <v>Happy</v>
      </c>
      <c r="N820" s="22" t="str">
        <f>_xlfn.XLOOKUP(calls[[#This Row],[Customer ID]],customers[Customer ID],customers[Gedner])</f>
        <v>Female</v>
      </c>
      <c r="O820" s="22">
        <f>_xlfn.XLOOKUP(calls[[#This Row],[Customer ID]],customers[Customer ID],customers[Age])</f>
        <v>43</v>
      </c>
      <c r="P820" s="22" t="str">
        <f>_xlfn.XLOOKUP(calls[[#This Row],[Customer ID]],customers[Customer ID],customers[City])</f>
        <v>Cleveland</v>
      </c>
    </row>
    <row r="821" spans="2:16" x14ac:dyDescent="0.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s="22" t="str">
        <f>IF(calls[[#This Row],[Rating rounded]]&gt;=4,"Happy")</f>
        <v>Happy</v>
      </c>
      <c r="N821" s="22" t="str">
        <f>_xlfn.XLOOKUP(calls[[#This Row],[Customer ID]],customers[Customer ID],customers[Gedner])</f>
        <v>Female</v>
      </c>
      <c r="O821" s="22">
        <f>_xlfn.XLOOKUP(calls[[#This Row],[Customer ID]],customers[Customer ID],customers[Age])</f>
        <v>43</v>
      </c>
      <c r="P821" s="22" t="str">
        <f>_xlfn.XLOOKUP(calls[[#This Row],[Customer ID]],customers[Customer ID],customers[City])</f>
        <v>Cleveland</v>
      </c>
    </row>
    <row r="822" spans="2:16" x14ac:dyDescent="0.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s="22" t="str">
        <f>IF(calls[[#This Row],[Rating rounded]]&gt;=4,"Happy")</f>
        <v>Happy</v>
      </c>
      <c r="N822" s="22" t="str">
        <f>_xlfn.XLOOKUP(calls[[#This Row],[Customer ID]],customers[Customer ID],customers[Gedner])</f>
        <v>Female</v>
      </c>
      <c r="O822" s="22">
        <f>_xlfn.XLOOKUP(calls[[#This Row],[Customer ID]],customers[Customer ID],customers[Age])</f>
        <v>30</v>
      </c>
      <c r="P822" s="22" t="str">
        <f>_xlfn.XLOOKUP(calls[[#This Row],[Customer ID]],customers[Customer ID],customers[City])</f>
        <v>Cleveland</v>
      </c>
    </row>
    <row r="823" spans="2:16" x14ac:dyDescent="0.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s="22" t="b">
        <f>IF(calls[[#This Row],[Rating rounded]]&gt;=4,"Happy")</f>
        <v>0</v>
      </c>
      <c r="N823" s="22" t="str">
        <f>_xlfn.XLOOKUP(calls[[#This Row],[Customer ID]],customers[Customer ID],customers[Gedner])</f>
        <v>Female</v>
      </c>
      <c r="O823" s="22">
        <f>_xlfn.XLOOKUP(calls[[#This Row],[Customer ID]],customers[Customer ID],customers[Age])</f>
        <v>38</v>
      </c>
      <c r="P823" s="22" t="str">
        <f>_xlfn.XLOOKUP(calls[[#This Row],[Customer ID]],customers[Customer ID],customers[City])</f>
        <v>Columbus</v>
      </c>
    </row>
    <row r="824" spans="2:16" x14ac:dyDescent="0.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s="22" t="str">
        <f>IF(calls[[#This Row],[Rating rounded]]&gt;=4,"Happy")</f>
        <v>Happy</v>
      </c>
      <c r="N824" s="22" t="str">
        <f>_xlfn.XLOOKUP(calls[[#This Row],[Customer ID]],customers[Customer ID],customers[Gedner])</f>
        <v>Female</v>
      </c>
      <c r="O824" s="22">
        <f>_xlfn.XLOOKUP(calls[[#This Row],[Customer ID]],customers[Customer ID],customers[Age])</f>
        <v>38</v>
      </c>
      <c r="P824" s="22" t="str">
        <f>_xlfn.XLOOKUP(calls[[#This Row],[Customer ID]],customers[Customer ID],customers[City])</f>
        <v>Columbus</v>
      </c>
    </row>
    <row r="825" spans="2:16" x14ac:dyDescent="0.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s="22" t="str">
        <f>IF(calls[[#This Row],[Rating rounded]]&gt;=4,"Happy")</f>
        <v>Happy</v>
      </c>
      <c r="N825" s="22" t="str">
        <f>_xlfn.XLOOKUP(calls[[#This Row],[Customer ID]],customers[Customer ID],customers[Gedner])</f>
        <v>Female</v>
      </c>
      <c r="O825" s="22">
        <f>_xlfn.XLOOKUP(calls[[#This Row],[Customer ID]],customers[Customer ID],customers[Age])</f>
        <v>42</v>
      </c>
      <c r="P825" s="22" t="str">
        <f>_xlfn.XLOOKUP(calls[[#This Row],[Customer ID]],customers[Customer ID],customers[City])</f>
        <v>Cleveland</v>
      </c>
    </row>
    <row r="826" spans="2:16" x14ac:dyDescent="0.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s="22" t="str">
        <f>IF(calls[[#This Row],[Rating rounded]]&gt;=4,"Happy")</f>
        <v>Happy</v>
      </c>
      <c r="N826" s="22" t="str">
        <f>_xlfn.XLOOKUP(calls[[#This Row],[Customer ID]],customers[Customer ID],customers[Gedner])</f>
        <v>Male</v>
      </c>
      <c r="O826" s="22">
        <f>_xlfn.XLOOKUP(calls[[#This Row],[Customer ID]],customers[Customer ID],customers[Age])</f>
        <v>26</v>
      </c>
      <c r="P826" s="22" t="str">
        <f>_xlfn.XLOOKUP(calls[[#This Row],[Customer ID]],customers[Customer ID],customers[City])</f>
        <v>Cincinnati</v>
      </c>
    </row>
    <row r="827" spans="2:16" x14ac:dyDescent="0.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s="22" t="str">
        <f>IF(calls[[#This Row],[Rating rounded]]&gt;=4,"Happy")</f>
        <v>Happy</v>
      </c>
      <c r="N827" s="22" t="str">
        <f>_xlfn.XLOOKUP(calls[[#This Row],[Customer ID]],customers[Customer ID],customers[Gedner])</f>
        <v>Male</v>
      </c>
      <c r="O827" s="22">
        <f>_xlfn.XLOOKUP(calls[[#This Row],[Customer ID]],customers[Customer ID],customers[Age])</f>
        <v>37</v>
      </c>
      <c r="P827" s="22" t="str">
        <f>_xlfn.XLOOKUP(calls[[#This Row],[Customer ID]],customers[Customer ID],customers[City])</f>
        <v>Columbus</v>
      </c>
    </row>
    <row r="828" spans="2:16" x14ac:dyDescent="0.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s="22" t="str">
        <f>IF(calls[[#This Row],[Rating rounded]]&gt;=4,"Happy")</f>
        <v>Happy</v>
      </c>
      <c r="N828" s="22" t="str">
        <f>_xlfn.XLOOKUP(calls[[#This Row],[Customer ID]],customers[Customer ID],customers[Gedner])</f>
        <v>Female</v>
      </c>
      <c r="O828" s="22">
        <f>_xlfn.XLOOKUP(calls[[#This Row],[Customer ID]],customers[Customer ID],customers[Age])</f>
        <v>42</v>
      </c>
      <c r="P828" s="22" t="str">
        <f>_xlfn.XLOOKUP(calls[[#This Row],[Customer ID]],customers[Customer ID],customers[City])</f>
        <v>Cleveland</v>
      </c>
    </row>
    <row r="829" spans="2:16" x14ac:dyDescent="0.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s="22" t="str">
        <f>IF(calls[[#This Row],[Rating rounded]]&gt;=4,"Happy")</f>
        <v>Happy</v>
      </c>
      <c r="N829" s="22" t="str">
        <f>_xlfn.XLOOKUP(calls[[#This Row],[Customer ID]],customers[Customer ID],customers[Gedner])</f>
        <v>Male</v>
      </c>
      <c r="O829" s="22">
        <f>_xlfn.XLOOKUP(calls[[#This Row],[Customer ID]],customers[Customer ID],customers[Age])</f>
        <v>37</v>
      </c>
      <c r="P829" s="22" t="str">
        <f>_xlfn.XLOOKUP(calls[[#This Row],[Customer ID]],customers[Customer ID],customers[City])</f>
        <v>Columbus</v>
      </c>
    </row>
    <row r="830" spans="2:16" x14ac:dyDescent="0.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s="22" t="str">
        <f>IF(calls[[#This Row],[Rating rounded]]&gt;=4,"Happy")</f>
        <v>Happy</v>
      </c>
      <c r="N830" s="22" t="str">
        <f>_xlfn.XLOOKUP(calls[[#This Row],[Customer ID]],customers[Customer ID],customers[Gedner])</f>
        <v>Female</v>
      </c>
      <c r="O830" s="22">
        <f>_xlfn.XLOOKUP(calls[[#This Row],[Customer ID]],customers[Customer ID],customers[Age])</f>
        <v>30</v>
      </c>
      <c r="P830" s="22" t="str">
        <f>_xlfn.XLOOKUP(calls[[#This Row],[Customer ID]],customers[Customer ID],customers[City])</f>
        <v>Cleveland</v>
      </c>
    </row>
    <row r="831" spans="2:16" x14ac:dyDescent="0.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s="22" t="str">
        <f>IF(calls[[#This Row],[Rating rounded]]&gt;=4,"Happy")</f>
        <v>Happy</v>
      </c>
      <c r="N831" s="22" t="str">
        <f>_xlfn.XLOOKUP(calls[[#This Row],[Customer ID]],customers[Customer ID],customers[Gedner])</f>
        <v>Male</v>
      </c>
      <c r="O831" s="22">
        <f>_xlfn.XLOOKUP(calls[[#This Row],[Customer ID]],customers[Customer ID],customers[Age])</f>
        <v>26</v>
      </c>
      <c r="P831" s="22" t="str">
        <f>_xlfn.XLOOKUP(calls[[#This Row],[Customer ID]],customers[Customer ID],customers[City])</f>
        <v>Cincinnati</v>
      </c>
    </row>
    <row r="832" spans="2:16" x14ac:dyDescent="0.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s="22" t="str">
        <f>IF(calls[[#This Row],[Rating rounded]]&gt;=4,"Happy")</f>
        <v>Happy</v>
      </c>
      <c r="N832" s="22" t="str">
        <f>_xlfn.XLOOKUP(calls[[#This Row],[Customer ID]],customers[Customer ID],customers[Gedner])</f>
        <v>Male</v>
      </c>
      <c r="O832" s="22">
        <f>_xlfn.XLOOKUP(calls[[#This Row],[Customer ID]],customers[Customer ID],customers[Age])</f>
        <v>36</v>
      </c>
      <c r="P832" s="22" t="str">
        <f>_xlfn.XLOOKUP(calls[[#This Row],[Customer ID]],customers[Customer ID],customers[City])</f>
        <v>Cincinnati</v>
      </c>
    </row>
    <row r="833" spans="2:16" x14ac:dyDescent="0.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s="22" t="str">
        <f>IF(calls[[#This Row],[Rating rounded]]&gt;=4,"Happy")</f>
        <v>Happy</v>
      </c>
      <c r="N833" s="22" t="str">
        <f>_xlfn.XLOOKUP(calls[[#This Row],[Customer ID]],customers[Customer ID],customers[Gedner])</f>
        <v>Male</v>
      </c>
      <c r="O833" s="22">
        <f>_xlfn.XLOOKUP(calls[[#This Row],[Customer ID]],customers[Customer ID],customers[Age])</f>
        <v>41</v>
      </c>
      <c r="P833" s="22" t="str">
        <f>_xlfn.XLOOKUP(calls[[#This Row],[Customer ID]],customers[Customer ID],customers[City])</f>
        <v>Columbus</v>
      </c>
    </row>
    <row r="834" spans="2:16" x14ac:dyDescent="0.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s="22" t="str">
        <f>IF(calls[[#This Row],[Rating rounded]]&gt;=4,"Happy")</f>
        <v>Happy</v>
      </c>
      <c r="N834" s="22" t="str">
        <f>_xlfn.XLOOKUP(calls[[#This Row],[Customer ID]],customers[Customer ID],customers[Gedner])</f>
        <v>Female</v>
      </c>
      <c r="O834" s="22">
        <f>_xlfn.XLOOKUP(calls[[#This Row],[Customer ID]],customers[Customer ID],customers[Age])</f>
        <v>22</v>
      </c>
      <c r="P834" s="22" t="str">
        <f>_xlfn.XLOOKUP(calls[[#This Row],[Customer ID]],customers[Customer ID],customers[City])</f>
        <v>Cleveland</v>
      </c>
    </row>
    <row r="835" spans="2:16" x14ac:dyDescent="0.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s="22" t="b">
        <f>IF(calls[[#This Row],[Rating rounded]]&gt;=4,"Happy")</f>
        <v>0</v>
      </c>
      <c r="N835" s="22" t="str">
        <f>_xlfn.XLOOKUP(calls[[#This Row],[Customer ID]],customers[Customer ID],customers[Gedner])</f>
        <v>Male</v>
      </c>
      <c r="O835" s="22">
        <f>_xlfn.XLOOKUP(calls[[#This Row],[Customer ID]],customers[Customer ID],customers[Age])</f>
        <v>26</v>
      </c>
      <c r="P835" s="22" t="str">
        <f>_xlfn.XLOOKUP(calls[[#This Row],[Customer ID]],customers[Customer ID],customers[City])</f>
        <v>Cincinnati</v>
      </c>
    </row>
    <row r="836" spans="2:16" x14ac:dyDescent="0.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s="22" t="str">
        <f>IF(calls[[#This Row],[Rating rounded]]&gt;=4,"Happy")</f>
        <v>Happy</v>
      </c>
      <c r="N836" s="22" t="str">
        <f>_xlfn.XLOOKUP(calls[[#This Row],[Customer ID]],customers[Customer ID],customers[Gedner])</f>
        <v>Female</v>
      </c>
      <c r="O836" s="22">
        <f>_xlfn.XLOOKUP(calls[[#This Row],[Customer ID]],customers[Customer ID],customers[Age])</f>
        <v>30</v>
      </c>
      <c r="P836" s="22" t="str">
        <f>_xlfn.XLOOKUP(calls[[#This Row],[Customer ID]],customers[Customer ID],customers[City])</f>
        <v>Cincinnati</v>
      </c>
    </row>
    <row r="837" spans="2:16" x14ac:dyDescent="0.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s="22" t="str">
        <f>IF(calls[[#This Row],[Rating rounded]]&gt;=4,"Happy")</f>
        <v>Happy</v>
      </c>
      <c r="N837" s="22" t="str">
        <f>_xlfn.XLOOKUP(calls[[#This Row],[Customer ID]],customers[Customer ID],customers[Gedner])</f>
        <v>Male</v>
      </c>
      <c r="O837" s="22">
        <f>_xlfn.XLOOKUP(calls[[#This Row],[Customer ID]],customers[Customer ID],customers[Age])</f>
        <v>36</v>
      </c>
      <c r="P837" s="22" t="str">
        <f>_xlfn.XLOOKUP(calls[[#This Row],[Customer ID]],customers[Customer ID],customers[City])</f>
        <v>Cincinnati</v>
      </c>
    </row>
    <row r="838" spans="2:16" x14ac:dyDescent="0.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s="22" t="b">
        <f>IF(calls[[#This Row],[Rating rounded]]&gt;=4,"Happy")</f>
        <v>0</v>
      </c>
      <c r="N838" s="22" t="str">
        <f>_xlfn.XLOOKUP(calls[[#This Row],[Customer ID]],customers[Customer ID],customers[Gedner])</f>
        <v>Female</v>
      </c>
      <c r="O838" s="22">
        <f>_xlfn.XLOOKUP(calls[[#This Row],[Customer ID]],customers[Customer ID],customers[Age])</f>
        <v>30</v>
      </c>
      <c r="P838" s="22" t="str">
        <f>_xlfn.XLOOKUP(calls[[#This Row],[Customer ID]],customers[Customer ID],customers[City])</f>
        <v>Cincinnati</v>
      </c>
    </row>
    <row r="839" spans="2:16" x14ac:dyDescent="0.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s="22" t="str">
        <f>IF(calls[[#This Row],[Rating rounded]]&gt;=4,"Happy")</f>
        <v>Happy</v>
      </c>
      <c r="N839" s="22" t="str">
        <f>_xlfn.XLOOKUP(calls[[#This Row],[Customer ID]],customers[Customer ID],customers[Gedner])</f>
        <v>Female</v>
      </c>
      <c r="O839" s="22">
        <f>_xlfn.XLOOKUP(calls[[#This Row],[Customer ID]],customers[Customer ID],customers[Age])</f>
        <v>30</v>
      </c>
      <c r="P839" s="22" t="str">
        <f>_xlfn.XLOOKUP(calls[[#This Row],[Customer ID]],customers[Customer ID],customers[City])</f>
        <v>Cincinnati</v>
      </c>
    </row>
    <row r="840" spans="2:16" x14ac:dyDescent="0.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s="22" t="str">
        <f>IF(calls[[#This Row],[Rating rounded]]&gt;=4,"Happy")</f>
        <v>Happy</v>
      </c>
      <c r="N840" s="22" t="str">
        <f>_xlfn.XLOOKUP(calls[[#This Row],[Customer ID]],customers[Customer ID],customers[Gedner])</f>
        <v>Female</v>
      </c>
      <c r="O840" s="22">
        <f>_xlfn.XLOOKUP(calls[[#This Row],[Customer ID]],customers[Customer ID],customers[Age])</f>
        <v>22</v>
      </c>
      <c r="P840" s="22" t="str">
        <f>_xlfn.XLOOKUP(calls[[#This Row],[Customer ID]],customers[Customer ID],customers[City])</f>
        <v>Cleveland</v>
      </c>
    </row>
    <row r="841" spans="2:16" x14ac:dyDescent="0.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s="22" t="str">
        <f>IF(calls[[#This Row],[Rating rounded]]&gt;=4,"Happy")</f>
        <v>Happy</v>
      </c>
      <c r="N841" s="22" t="str">
        <f>_xlfn.XLOOKUP(calls[[#This Row],[Customer ID]],customers[Customer ID],customers[Gedner])</f>
        <v>Female</v>
      </c>
      <c r="O841" s="22">
        <f>_xlfn.XLOOKUP(calls[[#This Row],[Customer ID]],customers[Customer ID],customers[Age])</f>
        <v>38</v>
      </c>
      <c r="P841" s="22" t="str">
        <f>_xlfn.XLOOKUP(calls[[#This Row],[Customer ID]],customers[Customer ID],customers[City])</f>
        <v>Columbus</v>
      </c>
    </row>
    <row r="842" spans="2:16" x14ac:dyDescent="0.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s="22" t="b">
        <f>IF(calls[[#This Row],[Rating rounded]]&gt;=4,"Happy")</f>
        <v>0</v>
      </c>
      <c r="N842" s="22" t="str">
        <f>_xlfn.XLOOKUP(calls[[#This Row],[Customer ID]],customers[Customer ID],customers[Gedner])</f>
        <v>Female</v>
      </c>
      <c r="O842" s="22">
        <f>_xlfn.XLOOKUP(calls[[#This Row],[Customer ID]],customers[Customer ID],customers[Age])</f>
        <v>22</v>
      </c>
      <c r="P842" s="22" t="str">
        <f>_xlfn.XLOOKUP(calls[[#This Row],[Customer ID]],customers[Customer ID],customers[City])</f>
        <v>Cleveland</v>
      </c>
    </row>
    <row r="843" spans="2:16" x14ac:dyDescent="0.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s="22" t="b">
        <f>IF(calls[[#This Row],[Rating rounded]]&gt;=4,"Happy")</f>
        <v>0</v>
      </c>
      <c r="N843" s="22" t="str">
        <f>_xlfn.XLOOKUP(calls[[#This Row],[Customer ID]],customers[Customer ID],customers[Gedner])</f>
        <v>Female</v>
      </c>
      <c r="O843" s="22">
        <f>_xlfn.XLOOKUP(calls[[#This Row],[Customer ID]],customers[Customer ID],customers[Age])</f>
        <v>43</v>
      </c>
      <c r="P843" s="22" t="str">
        <f>_xlfn.XLOOKUP(calls[[#This Row],[Customer ID]],customers[Customer ID],customers[City])</f>
        <v>Cleveland</v>
      </c>
    </row>
    <row r="844" spans="2:16" x14ac:dyDescent="0.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s="22" t="str">
        <f>IF(calls[[#This Row],[Rating rounded]]&gt;=4,"Happy")</f>
        <v>Happy</v>
      </c>
      <c r="N844" s="22" t="str">
        <f>_xlfn.XLOOKUP(calls[[#This Row],[Customer ID]],customers[Customer ID],customers[Gedner])</f>
        <v>Female</v>
      </c>
      <c r="O844" s="22">
        <f>_xlfn.XLOOKUP(calls[[#This Row],[Customer ID]],customers[Customer ID],customers[Age])</f>
        <v>42</v>
      </c>
      <c r="P844" s="22" t="str">
        <f>_xlfn.XLOOKUP(calls[[#This Row],[Customer ID]],customers[Customer ID],customers[City])</f>
        <v>Cleveland</v>
      </c>
    </row>
    <row r="845" spans="2:16" x14ac:dyDescent="0.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s="22" t="str">
        <f>IF(calls[[#This Row],[Rating rounded]]&gt;=4,"Happy")</f>
        <v>Happy</v>
      </c>
      <c r="N845" s="22" t="str">
        <f>_xlfn.XLOOKUP(calls[[#This Row],[Customer ID]],customers[Customer ID],customers[Gedner])</f>
        <v>Female</v>
      </c>
      <c r="O845" s="22">
        <f>_xlfn.XLOOKUP(calls[[#This Row],[Customer ID]],customers[Customer ID],customers[Age])</f>
        <v>38</v>
      </c>
      <c r="P845" s="22" t="str">
        <f>_xlfn.XLOOKUP(calls[[#This Row],[Customer ID]],customers[Customer ID],customers[City])</f>
        <v>Columbus</v>
      </c>
    </row>
    <row r="846" spans="2:16" x14ac:dyDescent="0.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s="22" t="str">
        <f>IF(calls[[#This Row],[Rating rounded]]&gt;=4,"Happy")</f>
        <v>Happy</v>
      </c>
      <c r="N846" s="22" t="str">
        <f>_xlfn.XLOOKUP(calls[[#This Row],[Customer ID]],customers[Customer ID],customers[Gedner])</f>
        <v>Male</v>
      </c>
      <c r="O846" s="22">
        <f>_xlfn.XLOOKUP(calls[[#This Row],[Customer ID]],customers[Customer ID],customers[Age])</f>
        <v>37</v>
      </c>
      <c r="P846" s="22" t="str">
        <f>_xlfn.XLOOKUP(calls[[#This Row],[Customer ID]],customers[Customer ID],customers[City])</f>
        <v>Columbus</v>
      </c>
    </row>
    <row r="847" spans="2:16" x14ac:dyDescent="0.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s="22" t="str">
        <f>IF(calls[[#This Row],[Rating rounded]]&gt;=4,"Happy")</f>
        <v>Happy</v>
      </c>
      <c r="N847" s="22" t="str">
        <f>_xlfn.XLOOKUP(calls[[#This Row],[Customer ID]],customers[Customer ID],customers[Gedner])</f>
        <v>Female</v>
      </c>
      <c r="O847" s="22">
        <f>_xlfn.XLOOKUP(calls[[#This Row],[Customer ID]],customers[Customer ID],customers[Age])</f>
        <v>22</v>
      </c>
      <c r="P847" s="22" t="str">
        <f>_xlfn.XLOOKUP(calls[[#This Row],[Customer ID]],customers[Customer ID],customers[City])</f>
        <v>Cleveland</v>
      </c>
    </row>
    <row r="848" spans="2:16" x14ac:dyDescent="0.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s="22" t="str">
        <f>IF(calls[[#This Row],[Rating rounded]]&gt;=4,"Happy")</f>
        <v>Happy</v>
      </c>
      <c r="N848" s="22" t="str">
        <f>_xlfn.XLOOKUP(calls[[#This Row],[Customer ID]],customers[Customer ID],customers[Gedner])</f>
        <v>Female</v>
      </c>
      <c r="O848" s="22">
        <f>_xlfn.XLOOKUP(calls[[#This Row],[Customer ID]],customers[Customer ID],customers[Age])</f>
        <v>37</v>
      </c>
      <c r="P848" s="22" t="str">
        <f>_xlfn.XLOOKUP(calls[[#This Row],[Customer ID]],customers[Customer ID],customers[City])</f>
        <v>Cleveland</v>
      </c>
    </row>
    <row r="849" spans="2:16" x14ac:dyDescent="0.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s="22" t="str">
        <f>IF(calls[[#This Row],[Rating rounded]]&gt;=4,"Happy")</f>
        <v>Happy</v>
      </c>
      <c r="N849" s="22" t="str">
        <f>_xlfn.XLOOKUP(calls[[#This Row],[Customer ID]],customers[Customer ID],customers[Gedner])</f>
        <v>Female</v>
      </c>
      <c r="O849" s="22">
        <f>_xlfn.XLOOKUP(calls[[#This Row],[Customer ID]],customers[Customer ID],customers[Age])</f>
        <v>30</v>
      </c>
      <c r="P849" s="22" t="str">
        <f>_xlfn.XLOOKUP(calls[[#This Row],[Customer ID]],customers[Customer ID],customers[City])</f>
        <v>Cleveland</v>
      </c>
    </row>
    <row r="850" spans="2:16" x14ac:dyDescent="0.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s="22" t="b">
        <f>IF(calls[[#This Row],[Rating rounded]]&gt;=4,"Happy")</f>
        <v>0</v>
      </c>
      <c r="N850" s="22" t="str">
        <f>_xlfn.XLOOKUP(calls[[#This Row],[Customer ID]],customers[Customer ID],customers[Gedner])</f>
        <v>Female</v>
      </c>
      <c r="O850" s="22">
        <f>_xlfn.XLOOKUP(calls[[#This Row],[Customer ID]],customers[Customer ID],customers[Age])</f>
        <v>38</v>
      </c>
      <c r="P850" s="22" t="str">
        <f>_xlfn.XLOOKUP(calls[[#This Row],[Customer ID]],customers[Customer ID],customers[City])</f>
        <v>Columbus</v>
      </c>
    </row>
    <row r="851" spans="2:16" x14ac:dyDescent="0.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s="22" t="b">
        <f>IF(calls[[#This Row],[Rating rounded]]&gt;=4,"Happy")</f>
        <v>0</v>
      </c>
      <c r="N851" s="22" t="str">
        <f>_xlfn.XLOOKUP(calls[[#This Row],[Customer ID]],customers[Customer ID],customers[Gedner])</f>
        <v>Female</v>
      </c>
      <c r="O851" s="22">
        <f>_xlfn.XLOOKUP(calls[[#This Row],[Customer ID]],customers[Customer ID],customers[Age])</f>
        <v>30</v>
      </c>
      <c r="P851" s="22" t="str">
        <f>_xlfn.XLOOKUP(calls[[#This Row],[Customer ID]],customers[Customer ID],customers[City])</f>
        <v>Cleveland</v>
      </c>
    </row>
    <row r="852" spans="2:16" x14ac:dyDescent="0.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s="22" t="b">
        <f>IF(calls[[#This Row],[Rating rounded]]&gt;=4,"Happy")</f>
        <v>0</v>
      </c>
      <c r="N852" s="22" t="str">
        <f>_xlfn.XLOOKUP(calls[[#This Row],[Customer ID]],customers[Customer ID],customers[Gedner])</f>
        <v>Male</v>
      </c>
      <c r="O852" s="22">
        <f>_xlfn.XLOOKUP(calls[[#This Row],[Customer ID]],customers[Customer ID],customers[Age])</f>
        <v>36</v>
      </c>
      <c r="P852" s="22" t="str">
        <f>_xlfn.XLOOKUP(calls[[#This Row],[Customer ID]],customers[Customer ID],customers[City])</f>
        <v>Cincinnati</v>
      </c>
    </row>
    <row r="853" spans="2:16" x14ac:dyDescent="0.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s="22" t="str">
        <f>IF(calls[[#This Row],[Rating rounded]]&gt;=4,"Happy")</f>
        <v>Happy</v>
      </c>
      <c r="N853" s="22" t="str">
        <f>_xlfn.XLOOKUP(calls[[#This Row],[Customer ID]],customers[Customer ID],customers[Gedner])</f>
        <v>Male</v>
      </c>
      <c r="O853" s="22">
        <f>_xlfn.XLOOKUP(calls[[#This Row],[Customer ID]],customers[Customer ID],customers[Age])</f>
        <v>26</v>
      </c>
      <c r="P853" s="22" t="str">
        <f>_xlfn.XLOOKUP(calls[[#This Row],[Customer ID]],customers[Customer ID],customers[City])</f>
        <v>Cincinnati</v>
      </c>
    </row>
    <row r="854" spans="2:16" x14ac:dyDescent="0.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s="22" t="str">
        <f>IF(calls[[#This Row],[Rating rounded]]&gt;=4,"Happy")</f>
        <v>Happy</v>
      </c>
      <c r="N854" s="22" t="str">
        <f>_xlfn.XLOOKUP(calls[[#This Row],[Customer ID]],customers[Customer ID],customers[Gedner])</f>
        <v>Male</v>
      </c>
      <c r="O854" s="22">
        <f>_xlfn.XLOOKUP(calls[[#This Row],[Customer ID]],customers[Customer ID],customers[Age])</f>
        <v>31</v>
      </c>
      <c r="P854" s="22" t="str">
        <f>_xlfn.XLOOKUP(calls[[#This Row],[Customer ID]],customers[Customer ID],customers[City])</f>
        <v>Cleveland</v>
      </c>
    </row>
    <row r="855" spans="2:16" x14ac:dyDescent="0.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s="22" t="str">
        <f>IF(calls[[#This Row],[Rating rounded]]&gt;=4,"Happy")</f>
        <v>Happy</v>
      </c>
      <c r="N855" s="22" t="str">
        <f>_xlfn.XLOOKUP(calls[[#This Row],[Customer ID]],customers[Customer ID],customers[Gedner])</f>
        <v>Male</v>
      </c>
      <c r="O855" s="22">
        <f>_xlfn.XLOOKUP(calls[[#This Row],[Customer ID]],customers[Customer ID],customers[Age])</f>
        <v>26</v>
      </c>
      <c r="P855" s="22" t="str">
        <f>_xlfn.XLOOKUP(calls[[#This Row],[Customer ID]],customers[Customer ID],customers[City])</f>
        <v>Cincinnati</v>
      </c>
    </row>
    <row r="856" spans="2:16" x14ac:dyDescent="0.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s="22" t="str">
        <f>IF(calls[[#This Row],[Rating rounded]]&gt;=4,"Happy")</f>
        <v>Happy</v>
      </c>
      <c r="N856" s="22" t="str">
        <f>_xlfn.XLOOKUP(calls[[#This Row],[Customer ID]],customers[Customer ID],customers[Gedner])</f>
        <v>Female</v>
      </c>
      <c r="O856" s="22">
        <f>_xlfn.XLOOKUP(calls[[#This Row],[Customer ID]],customers[Customer ID],customers[Age])</f>
        <v>43</v>
      </c>
      <c r="P856" s="22" t="str">
        <f>_xlfn.XLOOKUP(calls[[#This Row],[Customer ID]],customers[Customer ID],customers[City])</f>
        <v>Cleveland</v>
      </c>
    </row>
    <row r="857" spans="2:16" x14ac:dyDescent="0.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s="22" t="str">
        <f>IF(calls[[#This Row],[Rating rounded]]&gt;=4,"Happy")</f>
        <v>Happy</v>
      </c>
      <c r="N857" s="22" t="str">
        <f>_xlfn.XLOOKUP(calls[[#This Row],[Customer ID]],customers[Customer ID],customers[Gedner])</f>
        <v>Female</v>
      </c>
      <c r="O857" s="22">
        <f>_xlfn.XLOOKUP(calls[[#This Row],[Customer ID]],customers[Customer ID],customers[Age])</f>
        <v>37</v>
      </c>
      <c r="P857" s="22" t="str">
        <f>_xlfn.XLOOKUP(calls[[#This Row],[Customer ID]],customers[Customer ID],customers[City])</f>
        <v>Cleveland</v>
      </c>
    </row>
    <row r="858" spans="2:16" x14ac:dyDescent="0.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s="22" t="str">
        <f>IF(calls[[#This Row],[Rating rounded]]&gt;=4,"Happy")</f>
        <v>Happy</v>
      </c>
      <c r="N858" s="22" t="str">
        <f>_xlfn.XLOOKUP(calls[[#This Row],[Customer ID]],customers[Customer ID],customers[Gedner])</f>
        <v>Female</v>
      </c>
      <c r="O858" s="22">
        <f>_xlfn.XLOOKUP(calls[[#This Row],[Customer ID]],customers[Customer ID],customers[Age])</f>
        <v>38</v>
      </c>
      <c r="P858" s="22" t="str">
        <f>_xlfn.XLOOKUP(calls[[#This Row],[Customer ID]],customers[Customer ID],customers[City])</f>
        <v>Columbus</v>
      </c>
    </row>
    <row r="859" spans="2:16" x14ac:dyDescent="0.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s="22" t="str">
        <f>IF(calls[[#This Row],[Rating rounded]]&gt;=4,"Happy")</f>
        <v>Happy</v>
      </c>
      <c r="N859" s="22" t="str">
        <f>_xlfn.XLOOKUP(calls[[#This Row],[Customer ID]],customers[Customer ID],customers[Gedner])</f>
        <v>Female</v>
      </c>
      <c r="O859" s="22">
        <f>_xlfn.XLOOKUP(calls[[#This Row],[Customer ID]],customers[Customer ID],customers[Age])</f>
        <v>43</v>
      </c>
      <c r="P859" s="22" t="str">
        <f>_xlfn.XLOOKUP(calls[[#This Row],[Customer ID]],customers[Customer ID],customers[City])</f>
        <v>Cleveland</v>
      </c>
    </row>
    <row r="860" spans="2:16" x14ac:dyDescent="0.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s="22" t="str">
        <f>IF(calls[[#This Row],[Rating rounded]]&gt;=4,"Happy")</f>
        <v>Happy</v>
      </c>
      <c r="N860" s="22" t="str">
        <f>_xlfn.XLOOKUP(calls[[#This Row],[Customer ID]],customers[Customer ID],customers[Gedner])</f>
        <v>Male</v>
      </c>
      <c r="O860" s="22">
        <f>_xlfn.XLOOKUP(calls[[#This Row],[Customer ID]],customers[Customer ID],customers[Age])</f>
        <v>31</v>
      </c>
      <c r="P860" s="22" t="str">
        <f>_xlfn.XLOOKUP(calls[[#This Row],[Customer ID]],customers[Customer ID],customers[City])</f>
        <v>Cleveland</v>
      </c>
    </row>
    <row r="861" spans="2:16" x14ac:dyDescent="0.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s="22" t="str">
        <f>IF(calls[[#This Row],[Rating rounded]]&gt;=4,"Happy")</f>
        <v>Happy</v>
      </c>
      <c r="N861" s="22" t="str">
        <f>_xlfn.XLOOKUP(calls[[#This Row],[Customer ID]],customers[Customer ID],customers[Gedner])</f>
        <v>Female</v>
      </c>
      <c r="O861" s="22">
        <f>_xlfn.XLOOKUP(calls[[#This Row],[Customer ID]],customers[Customer ID],customers[Age])</f>
        <v>30</v>
      </c>
      <c r="P861" s="22" t="str">
        <f>_xlfn.XLOOKUP(calls[[#This Row],[Customer ID]],customers[Customer ID],customers[City])</f>
        <v>Cincinnati</v>
      </c>
    </row>
    <row r="862" spans="2:16" x14ac:dyDescent="0.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s="22" t="str">
        <f>IF(calls[[#This Row],[Rating rounded]]&gt;=4,"Happy")</f>
        <v>Happy</v>
      </c>
      <c r="N862" s="22" t="str">
        <f>_xlfn.XLOOKUP(calls[[#This Row],[Customer ID]],customers[Customer ID],customers[Gedner])</f>
        <v>Female</v>
      </c>
      <c r="O862" s="22">
        <f>_xlfn.XLOOKUP(calls[[#This Row],[Customer ID]],customers[Customer ID],customers[Age])</f>
        <v>30</v>
      </c>
      <c r="P862" s="22" t="str">
        <f>_xlfn.XLOOKUP(calls[[#This Row],[Customer ID]],customers[Customer ID],customers[City])</f>
        <v>Cincinnati</v>
      </c>
    </row>
    <row r="863" spans="2:16" x14ac:dyDescent="0.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s="22" t="str">
        <f>IF(calls[[#This Row],[Rating rounded]]&gt;=4,"Happy")</f>
        <v>Happy</v>
      </c>
      <c r="N863" s="22" t="str">
        <f>_xlfn.XLOOKUP(calls[[#This Row],[Customer ID]],customers[Customer ID],customers[Gedner])</f>
        <v>Female</v>
      </c>
      <c r="O863" s="22">
        <f>_xlfn.XLOOKUP(calls[[#This Row],[Customer ID]],customers[Customer ID],customers[Age])</f>
        <v>28</v>
      </c>
      <c r="P863" s="22" t="str">
        <f>_xlfn.XLOOKUP(calls[[#This Row],[Customer ID]],customers[Customer ID],customers[City])</f>
        <v>Cincinnati</v>
      </c>
    </row>
    <row r="864" spans="2:16" x14ac:dyDescent="0.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s="22" t="str">
        <f>IF(calls[[#This Row],[Rating rounded]]&gt;=4,"Happy")</f>
        <v>Happy</v>
      </c>
      <c r="N864" s="22" t="str">
        <f>_xlfn.XLOOKUP(calls[[#This Row],[Customer ID]],customers[Customer ID],customers[Gedner])</f>
        <v>Female</v>
      </c>
      <c r="O864" s="22">
        <f>_xlfn.XLOOKUP(calls[[#This Row],[Customer ID]],customers[Customer ID],customers[Age])</f>
        <v>42</v>
      </c>
      <c r="P864" s="22" t="str">
        <f>_xlfn.XLOOKUP(calls[[#This Row],[Customer ID]],customers[Customer ID],customers[City])</f>
        <v>Cleveland</v>
      </c>
    </row>
    <row r="865" spans="2:16" x14ac:dyDescent="0.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s="22" t="str">
        <f>IF(calls[[#This Row],[Rating rounded]]&gt;=4,"Happy")</f>
        <v>Happy</v>
      </c>
      <c r="N865" s="22" t="str">
        <f>_xlfn.XLOOKUP(calls[[#This Row],[Customer ID]],customers[Customer ID],customers[Gedner])</f>
        <v>Male</v>
      </c>
      <c r="O865" s="22">
        <f>_xlfn.XLOOKUP(calls[[#This Row],[Customer ID]],customers[Customer ID],customers[Age])</f>
        <v>36</v>
      </c>
      <c r="P865" s="22" t="str">
        <f>_xlfn.XLOOKUP(calls[[#This Row],[Customer ID]],customers[Customer ID],customers[City])</f>
        <v>Cincinnati</v>
      </c>
    </row>
    <row r="866" spans="2:16" x14ac:dyDescent="0.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s="22" t="str">
        <f>IF(calls[[#This Row],[Rating rounded]]&gt;=4,"Happy")</f>
        <v>Happy</v>
      </c>
      <c r="N866" s="22" t="str">
        <f>_xlfn.XLOOKUP(calls[[#This Row],[Customer ID]],customers[Customer ID],customers[Gedner])</f>
        <v>Female</v>
      </c>
      <c r="O866" s="22">
        <f>_xlfn.XLOOKUP(calls[[#This Row],[Customer ID]],customers[Customer ID],customers[Age])</f>
        <v>42</v>
      </c>
      <c r="P866" s="22" t="str">
        <f>_xlfn.XLOOKUP(calls[[#This Row],[Customer ID]],customers[Customer ID],customers[City])</f>
        <v>Cleveland</v>
      </c>
    </row>
    <row r="867" spans="2:16" x14ac:dyDescent="0.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s="22" t="str">
        <f>IF(calls[[#This Row],[Rating rounded]]&gt;=4,"Happy")</f>
        <v>Happy</v>
      </c>
      <c r="N867" s="22" t="str">
        <f>_xlfn.XLOOKUP(calls[[#This Row],[Customer ID]],customers[Customer ID],customers[Gedner])</f>
        <v>Female</v>
      </c>
      <c r="O867" s="22">
        <f>_xlfn.XLOOKUP(calls[[#This Row],[Customer ID]],customers[Customer ID],customers[Age])</f>
        <v>42</v>
      </c>
      <c r="P867" s="22" t="str">
        <f>_xlfn.XLOOKUP(calls[[#This Row],[Customer ID]],customers[Customer ID],customers[City])</f>
        <v>Cleveland</v>
      </c>
    </row>
    <row r="868" spans="2:16" x14ac:dyDescent="0.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s="22" t="str">
        <f>IF(calls[[#This Row],[Rating rounded]]&gt;=4,"Happy")</f>
        <v>Happy</v>
      </c>
      <c r="N868" s="22" t="str">
        <f>_xlfn.XLOOKUP(calls[[#This Row],[Customer ID]],customers[Customer ID],customers[Gedner])</f>
        <v>Male</v>
      </c>
      <c r="O868" s="22">
        <f>_xlfn.XLOOKUP(calls[[#This Row],[Customer ID]],customers[Customer ID],customers[Age])</f>
        <v>31</v>
      </c>
      <c r="P868" s="22" t="str">
        <f>_xlfn.XLOOKUP(calls[[#This Row],[Customer ID]],customers[Customer ID],customers[City])</f>
        <v>Cleveland</v>
      </c>
    </row>
    <row r="869" spans="2:16" x14ac:dyDescent="0.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s="22" t="str">
        <f>IF(calls[[#This Row],[Rating rounded]]&gt;=4,"Happy")</f>
        <v>Happy</v>
      </c>
      <c r="N869" s="22" t="str">
        <f>_xlfn.XLOOKUP(calls[[#This Row],[Customer ID]],customers[Customer ID],customers[Gedner])</f>
        <v>Female</v>
      </c>
      <c r="O869" s="22">
        <f>_xlfn.XLOOKUP(calls[[#This Row],[Customer ID]],customers[Customer ID],customers[Age])</f>
        <v>30</v>
      </c>
      <c r="P869" s="22" t="str">
        <f>_xlfn.XLOOKUP(calls[[#This Row],[Customer ID]],customers[Customer ID],customers[City])</f>
        <v>Cincinnati</v>
      </c>
    </row>
    <row r="870" spans="2:16" x14ac:dyDescent="0.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s="22" t="str">
        <f>IF(calls[[#This Row],[Rating rounded]]&gt;=4,"Happy")</f>
        <v>Happy</v>
      </c>
      <c r="N870" s="22" t="str">
        <f>_xlfn.XLOOKUP(calls[[#This Row],[Customer ID]],customers[Customer ID],customers[Gedner])</f>
        <v>Female</v>
      </c>
      <c r="O870" s="22">
        <f>_xlfn.XLOOKUP(calls[[#This Row],[Customer ID]],customers[Customer ID],customers[Age])</f>
        <v>28</v>
      </c>
      <c r="P870" s="22" t="str">
        <f>_xlfn.XLOOKUP(calls[[#This Row],[Customer ID]],customers[Customer ID],customers[City])</f>
        <v>Cincinnati</v>
      </c>
    </row>
    <row r="871" spans="2:16" x14ac:dyDescent="0.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s="22" t="str">
        <f>IF(calls[[#This Row],[Rating rounded]]&gt;=4,"Happy")</f>
        <v>Happy</v>
      </c>
      <c r="N871" s="22" t="str">
        <f>_xlfn.XLOOKUP(calls[[#This Row],[Customer ID]],customers[Customer ID],customers[Gedner])</f>
        <v>Female</v>
      </c>
      <c r="O871" s="22">
        <f>_xlfn.XLOOKUP(calls[[#This Row],[Customer ID]],customers[Customer ID],customers[Age])</f>
        <v>38</v>
      </c>
      <c r="P871" s="22" t="str">
        <f>_xlfn.XLOOKUP(calls[[#This Row],[Customer ID]],customers[Customer ID],customers[City])</f>
        <v>Columbus</v>
      </c>
    </row>
    <row r="872" spans="2:16" x14ac:dyDescent="0.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s="22" t="str">
        <f>IF(calls[[#This Row],[Rating rounded]]&gt;=4,"Happy")</f>
        <v>Happy</v>
      </c>
      <c r="N872" s="22" t="str">
        <f>_xlfn.XLOOKUP(calls[[#This Row],[Customer ID]],customers[Customer ID],customers[Gedner])</f>
        <v>Male</v>
      </c>
      <c r="O872" s="22">
        <f>_xlfn.XLOOKUP(calls[[#This Row],[Customer ID]],customers[Customer ID],customers[Age])</f>
        <v>41</v>
      </c>
      <c r="P872" s="22" t="str">
        <f>_xlfn.XLOOKUP(calls[[#This Row],[Customer ID]],customers[Customer ID],customers[City])</f>
        <v>Columbus</v>
      </c>
    </row>
    <row r="873" spans="2:16" x14ac:dyDescent="0.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s="22" t="str">
        <f>IF(calls[[#This Row],[Rating rounded]]&gt;=4,"Happy")</f>
        <v>Happy</v>
      </c>
      <c r="N873" s="22" t="str">
        <f>_xlfn.XLOOKUP(calls[[#This Row],[Customer ID]],customers[Customer ID],customers[Gedner])</f>
        <v>Male</v>
      </c>
      <c r="O873" s="22">
        <f>_xlfn.XLOOKUP(calls[[#This Row],[Customer ID]],customers[Customer ID],customers[Age])</f>
        <v>41</v>
      </c>
      <c r="P873" s="22" t="str">
        <f>_xlfn.XLOOKUP(calls[[#This Row],[Customer ID]],customers[Customer ID],customers[City])</f>
        <v>Columbus</v>
      </c>
    </row>
    <row r="874" spans="2:16" x14ac:dyDescent="0.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s="22" t="str">
        <f>IF(calls[[#This Row],[Rating rounded]]&gt;=4,"Happy")</f>
        <v>Happy</v>
      </c>
      <c r="N874" s="22" t="str">
        <f>_xlfn.XLOOKUP(calls[[#This Row],[Customer ID]],customers[Customer ID],customers[Gedner])</f>
        <v>Female</v>
      </c>
      <c r="O874" s="22">
        <f>_xlfn.XLOOKUP(calls[[#This Row],[Customer ID]],customers[Customer ID],customers[Age])</f>
        <v>28</v>
      </c>
      <c r="P874" s="22" t="str">
        <f>_xlfn.XLOOKUP(calls[[#This Row],[Customer ID]],customers[Customer ID],customers[City])</f>
        <v>Cincinnati</v>
      </c>
    </row>
    <row r="875" spans="2:16" x14ac:dyDescent="0.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s="22" t="str">
        <f>IF(calls[[#This Row],[Rating rounded]]&gt;=4,"Happy")</f>
        <v>Happy</v>
      </c>
      <c r="N875" s="22" t="str">
        <f>_xlfn.XLOOKUP(calls[[#This Row],[Customer ID]],customers[Customer ID],customers[Gedner])</f>
        <v>Female</v>
      </c>
      <c r="O875" s="22">
        <f>_xlfn.XLOOKUP(calls[[#This Row],[Customer ID]],customers[Customer ID],customers[Age])</f>
        <v>28</v>
      </c>
      <c r="P875" s="22" t="str">
        <f>_xlfn.XLOOKUP(calls[[#This Row],[Customer ID]],customers[Customer ID],customers[City])</f>
        <v>Cincinnati</v>
      </c>
    </row>
    <row r="876" spans="2:16" x14ac:dyDescent="0.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s="22" t="str">
        <f>IF(calls[[#This Row],[Rating rounded]]&gt;=4,"Happy")</f>
        <v>Happy</v>
      </c>
      <c r="N876" s="22" t="str">
        <f>_xlfn.XLOOKUP(calls[[#This Row],[Customer ID]],customers[Customer ID],customers[Gedner])</f>
        <v>Female</v>
      </c>
      <c r="O876" s="22">
        <f>_xlfn.XLOOKUP(calls[[#This Row],[Customer ID]],customers[Customer ID],customers[Age])</f>
        <v>25</v>
      </c>
      <c r="P876" s="22" t="str">
        <f>_xlfn.XLOOKUP(calls[[#This Row],[Customer ID]],customers[Customer ID],customers[City])</f>
        <v>Columbus</v>
      </c>
    </row>
    <row r="877" spans="2:16" x14ac:dyDescent="0.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s="22" t="str">
        <f>IF(calls[[#This Row],[Rating rounded]]&gt;=4,"Happy")</f>
        <v>Happy</v>
      </c>
      <c r="N877" s="22" t="str">
        <f>_xlfn.XLOOKUP(calls[[#This Row],[Customer ID]],customers[Customer ID],customers[Gedner])</f>
        <v>Female</v>
      </c>
      <c r="O877" s="22">
        <f>_xlfn.XLOOKUP(calls[[#This Row],[Customer ID]],customers[Customer ID],customers[Age])</f>
        <v>37</v>
      </c>
      <c r="P877" s="22" t="str">
        <f>_xlfn.XLOOKUP(calls[[#This Row],[Customer ID]],customers[Customer ID],customers[City])</f>
        <v>Cleveland</v>
      </c>
    </row>
    <row r="878" spans="2:16" x14ac:dyDescent="0.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s="22" t="str">
        <f>IF(calls[[#This Row],[Rating rounded]]&gt;=4,"Happy")</f>
        <v>Happy</v>
      </c>
      <c r="N878" s="22" t="str">
        <f>_xlfn.XLOOKUP(calls[[#This Row],[Customer ID]],customers[Customer ID],customers[Gedner])</f>
        <v>Female</v>
      </c>
      <c r="O878" s="22">
        <f>_xlfn.XLOOKUP(calls[[#This Row],[Customer ID]],customers[Customer ID],customers[Age])</f>
        <v>30</v>
      </c>
      <c r="P878" s="22" t="str">
        <f>_xlfn.XLOOKUP(calls[[#This Row],[Customer ID]],customers[Customer ID],customers[City])</f>
        <v>Cincinnati</v>
      </c>
    </row>
    <row r="879" spans="2:16" x14ac:dyDescent="0.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s="22" t="str">
        <f>IF(calls[[#This Row],[Rating rounded]]&gt;=4,"Happy")</f>
        <v>Happy</v>
      </c>
      <c r="N879" s="22" t="str">
        <f>_xlfn.XLOOKUP(calls[[#This Row],[Customer ID]],customers[Customer ID],customers[Gedner])</f>
        <v>Male</v>
      </c>
      <c r="O879" s="22">
        <f>_xlfn.XLOOKUP(calls[[#This Row],[Customer ID]],customers[Customer ID],customers[Age])</f>
        <v>36</v>
      </c>
      <c r="P879" s="22" t="str">
        <f>_xlfn.XLOOKUP(calls[[#This Row],[Customer ID]],customers[Customer ID],customers[City])</f>
        <v>Cincinnati</v>
      </c>
    </row>
    <row r="880" spans="2:16" x14ac:dyDescent="0.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s="22" t="b">
        <f>IF(calls[[#This Row],[Rating rounded]]&gt;=4,"Happy")</f>
        <v>0</v>
      </c>
      <c r="N880" s="22" t="str">
        <f>_xlfn.XLOOKUP(calls[[#This Row],[Customer ID]],customers[Customer ID],customers[Gedner])</f>
        <v>Female</v>
      </c>
      <c r="O880" s="22">
        <f>_xlfn.XLOOKUP(calls[[#This Row],[Customer ID]],customers[Customer ID],customers[Age])</f>
        <v>38</v>
      </c>
      <c r="P880" s="22" t="str">
        <f>_xlfn.XLOOKUP(calls[[#This Row],[Customer ID]],customers[Customer ID],customers[City])</f>
        <v>Columbus</v>
      </c>
    </row>
    <row r="881" spans="2:16" x14ac:dyDescent="0.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s="22" t="str">
        <f>IF(calls[[#This Row],[Rating rounded]]&gt;=4,"Happy")</f>
        <v>Happy</v>
      </c>
      <c r="N881" s="22" t="str">
        <f>_xlfn.XLOOKUP(calls[[#This Row],[Customer ID]],customers[Customer ID],customers[Gedner])</f>
        <v>Male</v>
      </c>
      <c r="O881" s="22">
        <f>_xlfn.XLOOKUP(calls[[#This Row],[Customer ID]],customers[Customer ID],customers[Age])</f>
        <v>31</v>
      </c>
      <c r="P881" s="22" t="str">
        <f>_xlfn.XLOOKUP(calls[[#This Row],[Customer ID]],customers[Customer ID],customers[City])</f>
        <v>Cleveland</v>
      </c>
    </row>
    <row r="882" spans="2:16" x14ac:dyDescent="0.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s="22" t="str">
        <f>IF(calls[[#This Row],[Rating rounded]]&gt;=4,"Happy")</f>
        <v>Happy</v>
      </c>
      <c r="N882" s="22" t="str">
        <f>_xlfn.XLOOKUP(calls[[#This Row],[Customer ID]],customers[Customer ID],customers[Gedner])</f>
        <v>Female</v>
      </c>
      <c r="O882" s="22">
        <f>_xlfn.XLOOKUP(calls[[#This Row],[Customer ID]],customers[Customer ID],customers[Age])</f>
        <v>37</v>
      </c>
      <c r="P882" s="22" t="str">
        <f>_xlfn.XLOOKUP(calls[[#This Row],[Customer ID]],customers[Customer ID],customers[City])</f>
        <v>Cleveland</v>
      </c>
    </row>
    <row r="883" spans="2:16" x14ac:dyDescent="0.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s="22" t="b">
        <f>IF(calls[[#This Row],[Rating rounded]]&gt;=4,"Happy")</f>
        <v>0</v>
      </c>
      <c r="N883" s="22" t="str">
        <f>_xlfn.XLOOKUP(calls[[#This Row],[Customer ID]],customers[Customer ID],customers[Gedner])</f>
        <v>Female</v>
      </c>
      <c r="O883" s="22">
        <f>_xlfn.XLOOKUP(calls[[#This Row],[Customer ID]],customers[Customer ID],customers[Age])</f>
        <v>37</v>
      </c>
      <c r="P883" s="22" t="str">
        <f>_xlfn.XLOOKUP(calls[[#This Row],[Customer ID]],customers[Customer ID],customers[City])</f>
        <v>Cleveland</v>
      </c>
    </row>
    <row r="884" spans="2:16" x14ac:dyDescent="0.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s="22" t="str">
        <f>IF(calls[[#This Row],[Rating rounded]]&gt;=4,"Happy")</f>
        <v>Happy</v>
      </c>
      <c r="N884" s="22" t="str">
        <f>_xlfn.XLOOKUP(calls[[#This Row],[Customer ID]],customers[Customer ID],customers[Gedner])</f>
        <v>Female</v>
      </c>
      <c r="O884" s="22">
        <f>_xlfn.XLOOKUP(calls[[#This Row],[Customer ID]],customers[Customer ID],customers[Age])</f>
        <v>37</v>
      </c>
      <c r="P884" s="22" t="str">
        <f>_xlfn.XLOOKUP(calls[[#This Row],[Customer ID]],customers[Customer ID],customers[City])</f>
        <v>Cleveland</v>
      </c>
    </row>
    <row r="885" spans="2:16" x14ac:dyDescent="0.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s="22" t="b">
        <f>IF(calls[[#This Row],[Rating rounded]]&gt;=4,"Happy")</f>
        <v>0</v>
      </c>
      <c r="N885" s="22" t="str">
        <f>_xlfn.XLOOKUP(calls[[#This Row],[Customer ID]],customers[Customer ID],customers[Gedner])</f>
        <v>Female</v>
      </c>
      <c r="O885" s="22">
        <f>_xlfn.XLOOKUP(calls[[#This Row],[Customer ID]],customers[Customer ID],customers[Age])</f>
        <v>37</v>
      </c>
      <c r="P885" s="22" t="str">
        <f>_xlfn.XLOOKUP(calls[[#This Row],[Customer ID]],customers[Customer ID],customers[City])</f>
        <v>Cleveland</v>
      </c>
    </row>
    <row r="886" spans="2:16" x14ac:dyDescent="0.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s="22" t="b">
        <f>IF(calls[[#This Row],[Rating rounded]]&gt;=4,"Happy")</f>
        <v>0</v>
      </c>
      <c r="N886" s="22" t="str">
        <f>_xlfn.XLOOKUP(calls[[#This Row],[Customer ID]],customers[Customer ID],customers[Gedner])</f>
        <v>Female</v>
      </c>
      <c r="O886" s="22">
        <f>_xlfn.XLOOKUP(calls[[#This Row],[Customer ID]],customers[Customer ID],customers[Age])</f>
        <v>38</v>
      </c>
      <c r="P886" s="22" t="str">
        <f>_xlfn.XLOOKUP(calls[[#This Row],[Customer ID]],customers[Customer ID],customers[City])</f>
        <v>Columbus</v>
      </c>
    </row>
    <row r="887" spans="2:16" x14ac:dyDescent="0.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s="22" t="b">
        <f>IF(calls[[#This Row],[Rating rounded]]&gt;=4,"Happy")</f>
        <v>0</v>
      </c>
      <c r="N887" s="22" t="str">
        <f>_xlfn.XLOOKUP(calls[[#This Row],[Customer ID]],customers[Customer ID],customers[Gedner])</f>
        <v>Female</v>
      </c>
      <c r="O887" s="22">
        <f>_xlfn.XLOOKUP(calls[[#This Row],[Customer ID]],customers[Customer ID],customers[Age])</f>
        <v>30</v>
      </c>
      <c r="P887" s="22" t="str">
        <f>_xlfn.XLOOKUP(calls[[#This Row],[Customer ID]],customers[Customer ID],customers[City])</f>
        <v>Cleveland</v>
      </c>
    </row>
    <row r="888" spans="2:16" x14ac:dyDescent="0.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s="22" t="str">
        <f>IF(calls[[#This Row],[Rating rounded]]&gt;=4,"Happy")</f>
        <v>Happy</v>
      </c>
      <c r="N888" s="22" t="str">
        <f>_xlfn.XLOOKUP(calls[[#This Row],[Customer ID]],customers[Customer ID],customers[Gedner])</f>
        <v>Male</v>
      </c>
      <c r="O888" s="22">
        <f>_xlfn.XLOOKUP(calls[[#This Row],[Customer ID]],customers[Customer ID],customers[Age])</f>
        <v>23</v>
      </c>
      <c r="P888" s="22" t="str">
        <f>_xlfn.XLOOKUP(calls[[#This Row],[Customer ID]],customers[Customer ID],customers[City])</f>
        <v>Columbus</v>
      </c>
    </row>
    <row r="889" spans="2:16" x14ac:dyDescent="0.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s="22" t="b">
        <f>IF(calls[[#This Row],[Rating rounded]]&gt;=4,"Happy")</f>
        <v>0</v>
      </c>
      <c r="N889" s="22" t="str">
        <f>_xlfn.XLOOKUP(calls[[#This Row],[Customer ID]],customers[Customer ID],customers[Gedner])</f>
        <v>Female</v>
      </c>
      <c r="O889" s="22">
        <f>_xlfn.XLOOKUP(calls[[#This Row],[Customer ID]],customers[Customer ID],customers[Age])</f>
        <v>30</v>
      </c>
      <c r="P889" s="22" t="str">
        <f>_xlfn.XLOOKUP(calls[[#This Row],[Customer ID]],customers[Customer ID],customers[City])</f>
        <v>Cleveland</v>
      </c>
    </row>
    <row r="890" spans="2:16" x14ac:dyDescent="0.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s="22" t="str">
        <f>IF(calls[[#This Row],[Rating rounded]]&gt;=4,"Happy")</f>
        <v>Happy</v>
      </c>
      <c r="N890" s="22" t="str">
        <f>_xlfn.XLOOKUP(calls[[#This Row],[Customer ID]],customers[Customer ID],customers[Gedner])</f>
        <v>Male</v>
      </c>
      <c r="O890" s="22">
        <f>_xlfn.XLOOKUP(calls[[#This Row],[Customer ID]],customers[Customer ID],customers[Age])</f>
        <v>36</v>
      </c>
      <c r="P890" s="22" t="str">
        <f>_xlfn.XLOOKUP(calls[[#This Row],[Customer ID]],customers[Customer ID],customers[City])</f>
        <v>Cincinnati</v>
      </c>
    </row>
    <row r="891" spans="2:16" x14ac:dyDescent="0.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s="22" t="str">
        <f>IF(calls[[#This Row],[Rating rounded]]&gt;=4,"Happy")</f>
        <v>Happy</v>
      </c>
      <c r="N891" s="22" t="str">
        <f>_xlfn.XLOOKUP(calls[[#This Row],[Customer ID]],customers[Customer ID],customers[Gedner])</f>
        <v>Male</v>
      </c>
      <c r="O891" s="22">
        <f>_xlfn.XLOOKUP(calls[[#This Row],[Customer ID]],customers[Customer ID],customers[Age])</f>
        <v>41</v>
      </c>
      <c r="P891" s="22" t="str">
        <f>_xlfn.XLOOKUP(calls[[#This Row],[Customer ID]],customers[Customer ID],customers[City])</f>
        <v>Columbus</v>
      </c>
    </row>
    <row r="892" spans="2:16" x14ac:dyDescent="0.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s="22" t="b">
        <f>IF(calls[[#This Row],[Rating rounded]]&gt;=4,"Happy")</f>
        <v>0</v>
      </c>
      <c r="N892" s="22" t="str">
        <f>_xlfn.XLOOKUP(calls[[#This Row],[Customer ID]],customers[Customer ID],customers[Gedner])</f>
        <v>Female</v>
      </c>
      <c r="O892" s="22">
        <f>_xlfn.XLOOKUP(calls[[#This Row],[Customer ID]],customers[Customer ID],customers[Age])</f>
        <v>25</v>
      </c>
      <c r="P892" s="22" t="str">
        <f>_xlfn.XLOOKUP(calls[[#This Row],[Customer ID]],customers[Customer ID],customers[City])</f>
        <v>Columbus</v>
      </c>
    </row>
    <row r="893" spans="2:16" x14ac:dyDescent="0.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s="22" t="str">
        <f>IF(calls[[#This Row],[Rating rounded]]&gt;=4,"Happy")</f>
        <v>Happy</v>
      </c>
      <c r="N893" s="22" t="str">
        <f>_xlfn.XLOOKUP(calls[[#This Row],[Customer ID]],customers[Customer ID],customers[Gedner])</f>
        <v>Male</v>
      </c>
      <c r="O893" s="22">
        <f>_xlfn.XLOOKUP(calls[[#This Row],[Customer ID]],customers[Customer ID],customers[Age])</f>
        <v>26</v>
      </c>
      <c r="P893" s="22" t="str">
        <f>_xlfn.XLOOKUP(calls[[#This Row],[Customer ID]],customers[Customer ID],customers[City])</f>
        <v>Cincinnati</v>
      </c>
    </row>
    <row r="894" spans="2:16" x14ac:dyDescent="0.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s="22" t="str">
        <f>IF(calls[[#This Row],[Rating rounded]]&gt;=4,"Happy")</f>
        <v>Happy</v>
      </c>
      <c r="N894" s="22" t="str">
        <f>_xlfn.XLOOKUP(calls[[#This Row],[Customer ID]],customers[Customer ID],customers[Gedner])</f>
        <v>Male</v>
      </c>
      <c r="O894" s="22">
        <f>_xlfn.XLOOKUP(calls[[#This Row],[Customer ID]],customers[Customer ID],customers[Age])</f>
        <v>37</v>
      </c>
      <c r="P894" s="22" t="str">
        <f>_xlfn.XLOOKUP(calls[[#This Row],[Customer ID]],customers[Customer ID],customers[City])</f>
        <v>Columbus</v>
      </c>
    </row>
    <row r="895" spans="2:16" x14ac:dyDescent="0.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s="22" t="str">
        <f>IF(calls[[#This Row],[Rating rounded]]&gt;=4,"Happy")</f>
        <v>Happy</v>
      </c>
      <c r="N895" s="22" t="str">
        <f>_xlfn.XLOOKUP(calls[[#This Row],[Customer ID]],customers[Customer ID],customers[Gedner])</f>
        <v>Female</v>
      </c>
      <c r="O895" s="22">
        <f>_xlfn.XLOOKUP(calls[[#This Row],[Customer ID]],customers[Customer ID],customers[Age])</f>
        <v>42</v>
      </c>
      <c r="P895" s="22" t="str">
        <f>_xlfn.XLOOKUP(calls[[#This Row],[Customer ID]],customers[Customer ID],customers[City])</f>
        <v>Cleveland</v>
      </c>
    </row>
    <row r="896" spans="2:16" x14ac:dyDescent="0.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s="22" t="str">
        <f>IF(calls[[#This Row],[Rating rounded]]&gt;=4,"Happy")</f>
        <v>Happy</v>
      </c>
      <c r="N896" s="22" t="str">
        <f>_xlfn.XLOOKUP(calls[[#This Row],[Customer ID]],customers[Customer ID],customers[Gedner])</f>
        <v>Female</v>
      </c>
      <c r="O896" s="22">
        <f>_xlfn.XLOOKUP(calls[[#This Row],[Customer ID]],customers[Customer ID],customers[Age])</f>
        <v>38</v>
      </c>
      <c r="P896" s="22" t="str">
        <f>_xlfn.XLOOKUP(calls[[#This Row],[Customer ID]],customers[Customer ID],customers[City])</f>
        <v>Columbus</v>
      </c>
    </row>
    <row r="897" spans="2:16" x14ac:dyDescent="0.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s="22" t="str">
        <f>IF(calls[[#This Row],[Rating rounded]]&gt;=4,"Happy")</f>
        <v>Happy</v>
      </c>
      <c r="N897" s="22" t="str">
        <f>_xlfn.XLOOKUP(calls[[#This Row],[Customer ID]],customers[Customer ID],customers[Gedner])</f>
        <v>Male</v>
      </c>
      <c r="O897" s="22">
        <f>_xlfn.XLOOKUP(calls[[#This Row],[Customer ID]],customers[Customer ID],customers[Age])</f>
        <v>41</v>
      </c>
      <c r="P897" s="22" t="str">
        <f>_xlfn.XLOOKUP(calls[[#This Row],[Customer ID]],customers[Customer ID],customers[City])</f>
        <v>Columbus</v>
      </c>
    </row>
    <row r="898" spans="2:16" x14ac:dyDescent="0.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s="22" t="str">
        <f>IF(calls[[#This Row],[Rating rounded]]&gt;=4,"Happy")</f>
        <v>Happy</v>
      </c>
      <c r="N898" s="22" t="str">
        <f>_xlfn.XLOOKUP(calls[[#This Row],[Customer ID]],customers[Customer ID],customers[Gedner])</f>
        <v>Female</v>
      </c>
      <c r="O898" s="22">
        <f>_xlfn.XLOOKUP(calls[[#This Row],[Customer ID]],customers[Customer ID],customers[Age])</f>
        <v>28</v>
      </c>
      <c r="P898" s="22" t="str">
        <f>_xlfn.XLOOKUP(calls[[#This Row],[Customer ID]],customers[Customer ID],customers[City])</f>
        <v>Cincinnati</v>
      </c>
    </row>
    <row r="899" spans="2:16" x14ac:dyDescent="0.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s="22" t="str">
        <f>IF(calls[[#This Row],[Rating rounded]]&gt;=4,"Happy")</f>
        <v>Happy</v>
      </c>
      <c r="N899" s="22" t="str">
        <f>_xlfn.XLOOKUP(calls[[#This Row],[Customer ID]],customers[Customer ID],customers[Gedner])</f>
        <v>Male</v>
      </c>
      <c r="O899" s="22">
        <f>_xlfn.XLOOKUP(calls[[#This Row],[Customer ID]],customers[Customer ID],customers[Age])</f>
        <v>41</v>
      </c>
      <c r="P899" s="22" t="str">
        <f>_xlfn.XLOOKUP(calls[[#This Row],[Customer ID]],customers[Customer ID],customers[City])</f>
        <v>Columbus</v>
      </c>
    </row>
    <row r="900" spans="2:16" x14ac:dyDescent="0.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s="22" t="str">
        <f>IF(calls[[#This Row],[Rating rounded]]&gt;=4,"Happy")</f>
        <v>Happy</v>
      </c>
      <c r="N900" s="22" t="str">
        <f>_xlfn.XLOOKUP(calls[[#This Row],[Customer ID]],customers[Customer ID],customers[Gedner])</f>
        <v>Female</v>
      </c>
      <c r="O900" s="22">
        <f>_xlfn.XLOOKUP(calls[[#This Row],[Customer ID]],customers[Customer ID],customers[Age])</f>
        <v>22</v>
      </c>
      <c r="P900" s="22" t="str">
        <f>_xlfn.XLOOKUP(calls[[#This Row],[Customer ID]],customers[Customer ID],customers[City])</f>
        <v>Cleveland</v>
      </c>
    </row>
    <row r="901" spans="2:16" x14ac:dyDescent="0.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s="22" t="b">
        <f>IF(calls[[#This Row],[Rating rounded]]&gt;=4,"Happy")</f>
        <v>0</v>
      </c>
      <c r="N901" s="22" t="str">
        <f>_xlfn.XLOOKUP(calls[[#This Row],[Customer ID]],customers[Customer ID],customers[Gedner])</f>
        <v>Female</v>
      </c>
      <c r="O901" s="22">
        <f>_xlfn.XLOOKUP(calls[[#This Row],[Customer ID]],customers[Customer ID],customers[Age])</f>
        <v>38</v>
      </c>
      <c r="P901" s="22" t="str">
        <f>_xlfn.XLOOKUP(calls[[#This Row],[Customer ID]],customers[Customer ID],customers[City])</f>
        <v>Columbus</v>
      </c>
    </row>
    <row r="902" spans="2:16" x14ac:dyDescent="0.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s="22" t="str">
        <f>IF(calls[[#This Row],[Rating rounded]]&gt;=4,"Happy")</f>
        <v>Happy</v>
      </c>
      <c r="N902" s="22" t="str">
        <f>_xlfn.XLOOKUP(calls[[#This Row],[Customer ID]],customers[Customer ID],customers[Gedner])</f>
        <v>Male</v>
      </c>
      <c r="O902" s="22">
        <f>_xlfn.XLOOKUP(calls[[#This Row],[Customer ID]],customers[Customer ID],customers[Age])</f>
        <v>37</v>
      </c>
      <c r="P902" s="22" t="str">
        <f>_xlfn.XLOOKUP(calls[[#This Row],[Customer ID]],customers[Customer ID],customers[City])</f>
        <v>Columbus</v>
      </c>
    </row>
    <row r="903" spans="2:16" x14ac:dyDescent="0.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s="22" t="b">
        <f>IF(calls[[#This Row],[Rating rounded]]&gt;=4,"Happy")</f>
        <v>0</v>
      </c>
      <c r="N903" s="22" t="str">
        <f>_xlfn.XLOOKUP(calls[[#This Row],[Customer ID]],customers[Customer ID],customers[Gedner])</f>
        <v>Female</v>
      </c>
      <c r="O903" s="22">
        <f>_xlfn.XLOOKUP(calls[[#This Row],[Customer ID]],customers[Customer ID],customers[Age])</f>
        <v>43</v>
      </c>
      <c r="P903" s="22" t="str">
        <f>_xlfn.XLOOKUP(calls[[#This Row],[Customer ID]],customers[Customer ID],customers[City])</f>
        <v>Cleveland</v>
      </c>
    </row>
    <row r="904" spans="2:16" x14ac:dyDescent="0.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s="22" t="str">
        <f>IF(calls[[#This Row],[Rating rounded]]&gt;=4,"Happy")</f>
        <v>Happy</v>
      </c>
      <c r="N904" s="22" t="str">
        <f>_xlfn.XLOOKUP(calls[[#This Row],[Customer ID]],customers[Customer ID],customers[Gedner])</f>
        <v>Female</v>
      </c>
      <c r="O904" s="22">
        <f>_xlfn.XLOOKUP(calls[[#This Row],[Customer ID]],customers[Customer ID],customers[Age])</f>
        <v>43</v>
      </c>
      <c r="P904" s="22" t="str">
        <f>_xlfn.XLOOKUP(calls[[#This Row],[Customer ID]],customers[Customer ID],customers[City])</f>
        <v>Cleveland</v>
      </c>
    </row>
    <row r="905" spans="2:16" x14ac:dyDescent="0.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s="22" t="b">
        <f>IF(calls[[#This Row],[Rating rounded]]&gt;=4,"Happy")</f>
        <v>0</v>
      </c>
      <c r="N905" s="22" t="str">
        <f>_xlfn.XLOOKUP(calls[[#This Row],[Customer ID]],customers[Customer ID],customers[Gedner])</f>
        <v>Male</v>
      </c>
      <c r="O905" s="22">
        <f>_xlfn.XLOOKUP(calls[[#This Row],[Customer ID]],customers[Customer ID],customers[Age])</f>
        <v>37</v>
      </c>
      <c r="P905" s="22" t="str">
        <f>_xlfn.XLOOKUP(calls[[#This Row],[Customer ID]],customers[Customer ID],customers[City])</f>
        <v>Columbus</v>
      </c>
    </row>
    <row r="906" spans="2:16" x14ac:dyDescent="0.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s="22" t="str">
        <f>IF(calls[[#This Row],[Rating rounded]]&gt;=4,"Happy")</f>
        <v>Happy</v>
      </c>
      <c r="N906" s="22" t="str">
        <f>_xlfn.XLOOKUP(calls[[#This Row],[Customer ID]],customers[Customer ID],customers[Gedner])</f>
        <v>Female</v>
      </c>
      <c r="O906" s="22">
        <f>_xlfn.XLOOKUP(calls[[#This Row],[Customer ID]],customers[Customer ID],customers[Age])</f>
        <v>43</v>
      </c>
      <c r="P906" s="22" t="str">
        <f>_xlfn.XLOOKUP(calls[[#This Row],[Customer ID]],customers[Customer ID],customers[City])</f>
        <v>Cleveland</v>
      </c>
    </row>
    <row r="907" spans="2:16" x14ac:dyDescent="0.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s="22" t="b">
        <f>IF(calls[[#This Row],[Rating rounded]]&gt;=4,"Happy")</f>
        <v>0</v>
      </c>
      <c r="N907" s="22" t="str">
        <f>_xlfn.XLOOKUP(calls[[#This Row],[Customer ID]],customers[Customer ID],customers[Gedner])</f>
        <v>Male</v>
      </c>
      <c r="O907" s="22">
        <f>_xlfn.XLOOKUP(calls[[#This Row],[Customer ID]],customers[Customer ID],customers[Age])</f>
        <v>36</v>
      </c>
      <c r="P907" s="22" t="str">
        <f>_xlfn.XLOOKUP(calls[[#This Row],[Customer ID]],customers[Customer ID],customers[City])</f>
        <v>Cincinnati</v>
      </c>
    </row>
    <row r="908" spans="2:16" x14ac:dyDescent="0.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s="22" t="str">
        <f>IF(calls[[#This Row],[Rating rounded]]&gt;=4,"Happy")</f>
        <v>Happy</v>
      </c>
      <c r="N908" s="22" t="str">
        <f>_xlfn.XLOOKUP(calls[[#This Row],[Customer ID]],customers[Customer ID],customers[Gedner])</f>
        <v>Female</v>
      </c>
      <c r="O908" s="22">
        <f>_xlfn.XLOOKUP(calls[[#This Row],[Customer ID]],customers[Customer ID],customers[Age])</f>
        <v>28</v>
      </c>
      <c r="P908" s="22" t="str">
        <f>_xlfn.XLOOKUP(calls[[#This Row],[Customer ID]],customers[Customer ID],customers[City])</f>
        <v>Cincinnati</v>
      </c>
    </row>
    <row r="909" spans="2:16" x14ac:dyDescent="0.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s="22" t="str">
        <f>IF(calls[[#This Row],[Rating rounded]]&gt;=4,"Happy")</f>
        <v>Happy</v>
      </c>
      <c r="N909" s="22" t="str">
        <f>_xlfn.XLOOKUP(calls[[#This Row],[Customer ID]],customers[Customer ID],customers[Gedner])</f>
        <v>Female</v>
      </c>
      <c r="O909" s="22">
        <f>_xlfn.XLOOKUP(calls[[#This Row],[Customer ID]],customers[Customer ID],customers[Age])</f>
        <v>38</v>
      </c>
      <c r="P909" s="22" t="str">
        <f>_xlfn.XLOOKUP(calls[[#This Row],[Customer ID]],customers[Customer ID],customers[City])</f>
        <v>Columbus</v>
      </c>
    </row>
    <row r="910" spans="2:16" x14ac:dyDescent="0.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s="22" t="str">
        <f>IF(calls[[#This Row],[Rating rounded]]&gt;=4,"Happy")</f>
        <v>Happy</v>
      </c>
      <c r="N910" s="22" t="str">
        <f>_xlfn.XLOOKUP(calls[[#This Row],[Customer ID]],customers[Customer ID],customers[Gedner])</f>
        <v>Female</v>
      </c>
      <c r="O910" s="22">
        <f>_xlfn.XLOOKUP(calls[[#This Row],[Customer ID]],customers[Customer ID],customers[Age])</f>
        <v>30</v>
      </c>
      <c r="P910" s="22" t="str">
        <f>_xlfn.XLOOKUP(calls[[#This Row],[Customer ID]],customers[Customer ID],customers[City])</f>
        <v>Cleveland</v>
      </c>
    </row>
    <row r="911" spans="2:16" x14ac:dyDescent="0.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s="22" t="str">
        <f>IF(calls[[#This Row],[Rating rounded]]&gt;=4,"Happy")</f>
        <v>Happy</v>
      </c>
      <c r="N911" s="22" t="str">
        <f>_xlfn.XLOOKUP(calls[[#This Row],[Customer ID]],customers[Customer ID],customers[Gedner])</f>
        <v>Male</v>
      </c>
      <c r="O911" s="22">
        <f>_xlfn.XLOOKUP(calls[[#This Row],[Customer ID]],customers[Customer ID],customers[Age])</f>
        <v>26</v>
      </c>
      <c r="P911" s="22" t="str">
        <f>_xlfn.XLOOKUP(calls[[#This Row],[Customer ID]],customers[Customer ID],customers[City])</f>
        <v>Cincinnati</v>
      </c>
    </row>
    <row r="912" spans="2:16" x14ac:dyDescent="0.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s="22" t="str">
        <f>IF(calls[[#This Row],[Rating rounded]]&gt;=4,"Happy")</f>
        <v>Happy</v>
      </c>
      <c r="N912" s="22" t="str">
        <f>_xlfn.XLOOKUP(calls[[#This Row],[Customer ID]],customers[Customer ID],customers[Gedner])</f>
        <v>Female</v>
      </c>
      <c r="O912" s="22">
        <f>_xlfn.XLOOKUP(calls[[#This Row],[Customer ID]],customers[Customer ID],customers[Age])</f>
        <v>43</v>
      </c>
      <c r="P912" s="22" t="str">
        <f>_xlfn.XLOOKUP(calls[[#This Row],[Customer ID]],customers[Customer ID],customers[City])</f>
        <v>Cleveland</v>
      </c>
    </row>
    <row r="913" spans="2:16" x14ac:dyDescent="0.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s="22" t="str">
        <f>IF(calls[[#This Row],[Rating rounded]]&gt;=4,"Happy")</f>
        <v>Happy</v>
      </c>
      <c r="N913" s="22" t="str">
        <f>_xlfn.XLOOKUP(calls[[#This Row],[Customer ID]],customers[Customer ID],customers[Gedner])</f>
        <v>Male</v>
      </c>
      <c r="O913" s="22">
        <f>_xlfn.XLOOKUP(calls[[#This Row],[Customer ID]],customers[Customer ID],customers[Age])</f>
        <v>31</v>
      </c>
      <c r="P913" s="22" t="str">
        <f>_xlfn.XLOOKUP(calls[[#This Row],[Customer ID]],customers[Customer ID],customers[City])</f>
        <v>Cleveland</v>
      </c>
    </row>
    <row r="914" spans="2:16" x14ac:dyDescent="0.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s="22" t="str">
        <f>IF(calls[[#This Row],[Rating rounded]]&gt;=4,"Happy")</f>
        <v>Happy</v>
      </c>
      <c r="N914" s="22" t="str">
        <f>_xlfn.XLOOKUP(calls[[#This Row],[Customer ID]],customers[Customer ID],customers[Gedner])</f>
        <v>Female</v>
      </c>
      <c r="O914" s="22">
        <f>_xlfn.XLOOKUP(calls[[#This Row],[Customer ID]],customers[Customer ID],customers[Age])</f>
        <v>30</v>
      </c>
      <c r="P914" s="22" t="str">
        <f>_xlfn.XLOOKUP(calls[[#This Row],[Customer ID]],customers[Customer ID],customers[City])</f>
        <v>Cleveland</v>
      </c>
    </row>
    <row r="915" spans="2:16" x14ac:dyDescent="0.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s="22" t="str">
        <f>IF(calls[[#This Row],[Rating rounded]]&gt;=4,"Happy")</f>
        <v>Happy</v>
      </c>
      <c r="N915" s="22" t="str">
        <f>_xlfn.XLOOKUP(calls[[#This Row],[Customer ID]],customers[Customer ID],customers[Gedner])</f>
        <v>Female</v>
      </c>
      <c r="O915" s="22">
        <f>_xlfn.XLOOKUP(calls[[#This Row],[Customer ID]],customers[Customer ID],customers[Age])</f>
        <v>37</v>
      </c>
      <c r="P915" s="22" t="str">
        <f>_xlfn.XLOOKUP(calls[[#This Row],[Customer ID]],customers[Customer ID],customers[City])</f>
        <v>Cleveland</v>
      </c>
    </row>
    <row r="916" spans="2:16" x14ac:dyDescent="0.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s="22" t="str">
        <f>IF(calls[[#This Row],[Rating rounded]]&gt;=4,"Happy")</f>
        <v>Happy</v>
      </c>
      <c r="N916" s="22" t="str">
        <f>_xlfn.XLOOKUP(calls[[#This Row],[Customer ID]],customers[Customer ID],customers[Gedner])</f>
        <v>Male</v>
      </c>
      <c r="O916" s="22">
        <f>_xlfn.XLOOKUP(calls[[#This Row],[Customer ID]],customers[Customer ID],customers[Age])</f>
        <v>41</v>
      </c>
      <c r="P916" s="22" t="str">
        <f>_xlfn.XLOOKUP(calls[[#This Row],[Customer ID]],customers[Customer ID],customers[City])</f>
        <v>Columbus</v>
      </c>
    </row>
    <row r="917" spans="2:16" x14ac:dyDescent="0.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s="22" t="str">
        <f>IF(calls[[#This Row],[Rating rounded]]&gt;=4,"Happy")</f>
        <v>Happy</v>
      </c>
      <c r="N917" s="22" t="str">
        <f>_xlfn.XLOOKUP(calls[[#This Row],[Customer ID]],customers[Customer ID],customers[Gedner])</f>
        <v>Female</v>
      </c>
      <c r="O917" s="22">
        <f>_xlfn.XLOOKUP(calls[[#This Row],[Customer ID]],customers[Customer ID],customers[Age])</f>
        <v>25</v>
      </c>
      <c r="P917" s="22" t="str">
        <f>_xlfn.XLOOKUP(calls[[#This Row],[Customer ID]],customers[Customer ID],customers[City])</f>
        <v>Columbus</v>
      </c>
    </row>
    <row r="918" spans="2:16" x14ac:dyDescent="0.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s="22" t="str">
        <f>IF(calls[[#This Row],[Rating rounded]]&gt;=4,"Happy")</f>
        <v>Happy</v>
      </c>
      <c r="N918" s="22" t="str">
        <f>_xlfn.XLOOKUP(calls[[#This Row],[Customer ID]],customers[Customer ID],customers[Gedner])</f>
        <v>Male</v>
      </c>
      <c r="O918" s="22">
        <f>_xlfn.XLOOKUP(calls[[#This Row],[Customer ID]],customers[Customer ID],customers[Age])</f>
        <v>31</v>
      </c>
      <c r="P918" s="22" t="str">
        <f>_xlfn.XLOOKUP(calls[[#This Row],[Customer ID]],customers[Customer ID],customers[City])</f>
        <v>Cleveland</v>
      </c>
    </row>
    <row r="919" spans="2:16" x14ac:dyDescent="0.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s="22" t="b">
        <f>IF(calls[[#This Row],[Rating rounded]]&gt;=4,"Happy")</f>
        <v>0</v>
      </c>
      <c r="N919" s="22" t="str">
        <f>_xlfn.XLOOKUP(calls[[#This Row],[Customer ID]],customers[Customer ID],customers[Gedner])</f>
        <v>Female</v>
      </c>
      <c r="O919" s="22">
        <f>_xlfn.XLOOKUP(calls[[#This Row],[Customer ID]],customers[Customer ID],customers[Age])</f>
        <v>30</v>
      </c>
      <c r="P919" s="22" t="str">
        <f>_xlfn.XLOOKUP(calls[[#This Row],[Customer ID]],customers[Customer ID],customers[City])</f>
        <v>Cleveland</v>
      </c>
    </row>
    <row r="920" spans="2:16" x14ac:dyDescent="0.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s="22" t="str">
        <f>IF(calls[[#This Row],[Rating rounded]]&gt;=4,"Happy")</f>
        <v>Happy</v>
      </c>
      <c r="N920" s="22" t="str">
        <f>_xlfn.XLOOKUP(calls[[#This Row],[Customer ID]],customers[Customer ID],customers[Gedner])</f>
        <v>Male</v>
      </c>
      <c r="O920" s="22">
        <f>_xlfn.XLOOKUP(calls[[#This Row],[Customer ID]],customers[Customer ID],customers[Age])</f>
        <v>41</v>
      </c>
      <c r="P920" s="22" t="str">
        <f>_xlfn.XLOOKUP(calls[[#This Row],[Customer ID]],customers[Customer ID],customers[City])</f>
        <v>Columbus</v>
      </c>
    </row>
    <row r="921" spans="2:16" x14ac:dyDescent="0.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s="22" t="str">
        <f>IF(calls[[#This Row],[Rating rounded]]&gt;=4,"Happy")</f>
        <v>Happy</v>
      </c>
      <c r="N921" s="22" t="str">
        <f>_xlfn.XLOOKUP(calls[[#This Row],[Customer ID]],customers[Customer ID],customers[Gedner])</f>
        <v>Female</v>
      </c>
      <c r="O921" s="22">
        <f>_xlfn.XLOOKUP(calls[[#This Row],[Customer ID]],customers[Customer ID],customers[Age])</f>
        <v>37</v>
      </c>
      <c r="P921" s="22" t="str">
        <f>_xlfn.XLOOKUP(calls[[#This Row],[Customer ID]],customers[Customer ID],customers[City])</f>
        <v>Cleveland</v>
      </c>
    </row>
    <row r="922" spans="2:16" x14ac:dyDescent="0.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s="22" t="str">
        <f>IF(calls[[#This Row],[Rating rounded]]&gt;=4,"Happy")</f>
        <v>Happy</v>
      </c>
      <c r="N922" s="22" t="str">
        <f>_xlfn.XLOOKUP(calls[[#This Row],[Customer ID]],customers[Customer ID],customers[Gedner])</f>
        <v>Female</v>
      </c>
      <c r="O922" s="22">
        <f>_xlfn.XLOOKUP(calls[[#This Row],[Customer ID]],customers[Customer ID],customers[Age])</f>
        <v>30</v>
      </c>
      <c r="P922" s="22" t="str">
        <f>_xlfn.XLOOKUP(calls[[#This Row],[Customer ID]],customers[Customer ID],customers[City])</f>
        <v>Cincinnati</v>
      </c>
    </row>
    <row r="923" spans="2:16" x14ac:dyDescent="0.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s="22" t="str">
        <f>IF(calls[[#This Row],[Rating rounded]]&gt;=4,"Happy")</f>
        <v>Happy</v>
      </c>
      <c r="N923" s="22" t="str">
        <f>_xlfn.XLOOKUP(calls[[#This Row],[Customer ID]],customers[Customer ID],customers[Gedner])</f>
        <v>Male</v>
      </c>
      <c r="O923" s="22">
        <f>_xlfn.XLOOKUP(calls[[#This Row],[Customer ID]],customers[Customer ID],customers[Age])</f>
        <v>26</v>
      </c>
      <c r="P923" s="22" t="str">
        <f>_xlfn.XLOOKUP(calls[[#This Row],[Customer ID]],customers[Customer ID],customers[City])</f>
        <v>Cincinnati</v>
      </c>
    </row>
    <row r="924" spans="2:16" x14ac:dyDescent="0.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s="22" t="str">
        <f>IF(calls[[#This Row],[Rating rounded]]&gt;=4,"Happy")</f>
        <v>Happy</v>
      </c>
      <c r="N924" s="22" t="str">
        <f>_xlfn.XLOOKUP(calls[[#This Row],[Customer ID]],customers[Customer ID],customers[Gedner])</f>
        <v>Male</v>
      </c>
      <c r="O924" s="22">
        <f>_xlfn.XLOOKUP(calls[[#This Row],[Customer ID]],customers[Customer ID],customers[Age])</f>
        <v>37</v>
      </c>
      <c r="P924" s="22" t="str">
        <f>_xlfn.XLOOKUP(calls[[#This Row],[Customer ID]],customers[Customer ID],customers[City])</f>
        <v>Columbus</v>
      </c>
    </row>
    <row r="925" spans="2:16" x14ac:dyDescent="0.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s="22" t="str">
        <f>IF(calls[[#This Row],[Rating rounded]]&gt;=4,"Happy")</f>
        <v>Happy</v>
      </c>
      <c r="N925" s="22" t="str">
        <f>_xlfn.XLOOKUP(calls[[#This Row],[Customer ID]],customers[Customer ID],customers[Gedner])</f>
        <v>Female</v>
      </c>
      <c r="O925" s="22">
        <f>_xlfn.XLOOKUP(calls[[#This Row],[Customer ID]],customers[Customer ID],customers[Age])</f>
        <v>28</v>
      </c>
      <c r="P925" s="22" t="str">
        <f>_xlfn.XLOOKUP(calls[[#This Row],[Customer ID]],customers[Customer ID],customers[City])</f>
        <v>Cincinnati</v>
      </c>
    </row>
    <row r="926" spans="2:16" x14ac:dyDescent="0.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s="22" t="b">
        <f>IF(calls[[#This Row],[Rating rounded]]&gt;=4,"Happy")</f>
        <v>0</v>
      </c>
      <c r="N926" s="22" t="str">
        <f>_xlfn.XLOOKUP(calls[[#This Row],[Customer ID]],customers[Customer ID],customers[Gedner])</f>
        <v>Female</v>
      </c>
      <c r="O926" s="22">
        <f>_xlfn.XLOOKUP(calls[[#This Row],[Customer ID]],customers[Customer ID],customers[Age])</f>
        <v>22</v>
      </c>
      <c r="P926" s="22" t="str">
        <f>_xlfn.XLOOKUP(calls[[#This Row],[Customer ID]],customers[Customer ID],customers[City])</f>
        <v>Cleveland</v>
      </c>
    </row>
    <row r="927" spans="2:16" x14ac:dyDescent="0.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s="22" t="b">
        <f>IF(calls[[#This Row],[Rating rounded]]&gt;=4,"Happy")</f>
        <v>0</v>
      </c>
      <c r="N927" s="22" t="str">
        <f>_xlfn.XLOOKUP(calls[[#This Row],[Customer ID]],customers[Customer ID],customers[Gedner])</f>
        <v>Female</v>
      </c>
      <c r="O927" s="22">
        <f>_xlfn.XLOOKUP(calls[[#This Row],[Customer ID]],customers[Customer ID],customers[Age])</f>
        <v>28</v>
      </c>
      <c r="P927" s="22" t="str">
        <f>_xlfn.XLOOKUP(calls[[#This Row],[Customer ID]],customers[Customer ID],customers[City])</f>
        <v>Cincinnati</v>
      </c>
    </row>
    <row r="928" spans="2:16" x14ac:dyDescent="0.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s="22" t="str">
        <f>IF(calls[[#This Row],[Rating rounded]]&gt;=4,"Happy")</f>
        <v>Happy</v>
      </c>
      <c r="N928" s="22" t="str">
        <f>_xlfn.XLOOKUP(calls[[#This Row],[Customer ID]],customers[Customer ID],customers[Gedner])</f>
        <v>Female</v>
      </c>
      <c r="O928" s="22">
        <f>_xlfn.XLOOKUP(calls[[#This Row],[Customer ID]],customers[Customer ID],customers[Age])</f>
        <v>30</v>
      </c>
      <c r="P928" s="22" t="str">
        <f>_xlfn.XLOOKUP(calls[[#This Row],[Customer ID]],customers[Customer ID],customers[City])</f>
        <v>Cleveland</v>
      </c>
    </row>
    <row r="929" spans="2:16" x14ac:dyDescent="0.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s="22" t="str">
        <f>IF(calls[[#This Row],[Rating rounded]]&gt;=4,"Happy")</f>
        <v>Happy</v>
      </c>
      <c r="N929" s="22" t="str">
        <f>_xlfn.XLOOKUP(calls[[#This Row],[Customer ID]],customers[Customer ID],customers[Gedner])</f>
        <v>Female</v>
      </c>
      <c r="O929" s="22">
        <f>_xlfn.XLOOKUP(calls[[#This Row],[Customer ID]],customers[Customer ID],customers[Age])</f>
        <v>28</v>
      </c>
      <c r="P929" s="22" t="str">
        <f>_xlfn.XLOOKUP(calls[[#This Row],[Customer ID]],customers[Customer ID],customers[City])</f>
        <v>Cincinnati</v>
      </c>
    </row>
    <row r="930" spans="2:16" x14ac:dyDescent="0.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s="22" t="b">
        <f>IF(calls[[#This Row],[Rating rounded]]&gt;=4,"Happy")</f>
        <v>0</v>
      </c>
      <c r="N930" s="22" t="str">
        <f>_xlfn.XLOOKUP(calls[[#This Row],[Customer ID]],customers[Customer ID],customers[Gedner])</f>
        <v>Female</v>
      </c>
      <c r="O930" s="22">
        <f>_xlfn.XLOOKUP(calls[[#This Row],[Customer ID]],customers[Customer ID],customers[Age])</f>
        <v>38</v>
      </c>
      <c r="P930" s="22" t="str">
        <f>_xlfn.XLOOKUP(calls[[#This Row],[Customer ID]],customers[Customer ID],customers[City])</f>
        <v>Columbus</v>
      </c>
    </row>
    <row r="931" spans="2:16" x14ac:dyDescent="0.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s="22" t="b">
        <f>IF(calls[[#This Row],[Rating rounded]]&gt;=4,"Happy")</f>
        <v>0</v>
      </c>
      <c r="N931" s="22" t="str">
        <f>_xlfn.XLOOKUP(calls[[#This Row],[Customer ID]],customers[Customer ID],customers[Gedner])</f>
        <v>Male</v>
      </c>
      <c r="O931" s="22">
        <f>_xlfn.XLOOKUP(calls[[#This Row],[Customer ID]],customers[Customer ID],customers[Age])</f>
        <v>31</v>
      </c>
      <c r="P931" s="22" t="str">
        <f>_xlfn.XLOOKUP(calls[[#This Row],[Customer ID]],customers[Customer ID],customers[City])</f>
        <v>Cleveland</v>
      </c>
    </row>
    <row r="932" spans="2:16" x14ac:dyDescent="0.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s="22" t="b">
        <f>IF(calls[[#This Row],[Rating rounded]]&gt;=4,"Happy")</f>
        <v>0</v>
      </c>
      <c r="N932" s="22" t="str">
        <f>_xlfn.XLOOKUP(calls[[#This Row],[Customer ID]],customers[Customer ID],customers[Gedner])</f>
        <v>Female</v>
      </c>
      <c r="O932" s="22">
        <f>_xlfn.XLOOKUP(calls[[#This Row],[Customer ID]],customers[Customer ID],customers[Age])</f>
        <v>28</v>
      </c>
      <c r="P932" s="22" t="str">
        <f>_xlfn.XLOOKUP(calls[[#This Row],[Customer ID]],customers[Customer ID],customers[City])</f>
        <v>Cincinnati</v>
      </c>
    </row>
    <row r="933" spans="2:16" x14ac:dyDescent="0.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s="22" t="b">
        <f>IF(calls[[#This Row],[Rating rounded]]&gt;=4,"Happy")</f>
        <v>0</v>
      </c>
      <c r="N933" s="22" t="str">
        <f>_xlfn.XLOOKUP(calls[[#This Row],[Customer ID]],customers[Customer ID],customers[Gedner])</f>
        <v>Male</v>
      </c>
      <c r="O933" s="22">
        <f>_xlfn.XLOOKUP(calls[[#This Row],[Customer ID]],customers[Customer ID],customers[Age])</f>
        <v>37</v>
      </c>
      <c r="P933" s="22" t="str">
        <f>_xlfn.XLOOKUP(calls[[#This Row],[Customer ID]],customers[Customer ID],customers[City])</f>
        <v>Columbus</v>
      </c>
    </row>
    <row r="934" spans="2:16" x14ac:dyDescent="0.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s="22" t="str">
        <f>IF(calls[[#This Row],[Rating rounded]]&gt;=4,"Happy")</f>
        <v>Happy</v>
      </c>
      <c r="N934" s="22" t="str">
        <f>_xlfn.XLOOKUP(calls[[#This Row],[Customer ID]],customers[Customer ID],customers[Gedner])</f>
        <v>Male</v>
      </c>
      <c r="O934" s="22">
        <f>_xlfn.XLOOKUP(calls[[#This Row],[Customer ID]],customers[Customer ID],customers[Age])</f>
        <v>41</v>
      </c>
      <c r="P934" s="22" t="str">
        <f>_xlfn.XLOOKUP(calls[[#This Row],[Customer ID]],customers[Customer ID],customers[City])</f>
        <v>Columbus</v>
      </c>
    </row>
    <row r="935" spans="2:16" x14ac:dyDescent="0.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s="22" t="str">
        <f>IF(calls[[#This Row],[Rating rounded]]&gt;=4,"Happy")</f>
        <v>Happy</v>
      </c>
      <c r="N935" s="22" t="str">
        <f>_xlfn.XLOOKUP(calls[[#This Row],[Customer ID]],customers[Customer ID],customers[Gedner])</f>
        <v>Female</v>
      </c>
      <c r="O935" s="22">
        <f>_xlfn.XLOOKUP(calls[[#This Row],[Customer ID]],customers[Customer ID],customers[Age])</f>
        <v>30</v>
      </c>
      <c r="P935" s="22" t="str">
        <f>_xlfn.XLOOKUP(calls[[#This Row],[Customer ID]],customers[Customer ID],customers[City])</f>
        <v>Cincinnati</v>
      </c>
    </row>
    <row r="936" spans="2:16" x14ac:dyDescent="0.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s="22" t="b">
        <f>IF(calls[[#This Row],[Rating rounded]]&gt;=4,"Happy")</f>
        <v>0</v>
      </c>
      <c r="N936" s="22" t="str">
        <f>_xlfn.XLOOKUP(calls[[#This Row],[Customer ID]],customers[Customer ID],customers[Gedner])</f>
        <v>Female</v>
      </c>
      <c r="O936" s="22">
        <f>_xlfn.XLOOKUP(calls[[#This Row],[Customer ID]],customers[Customer ID],customers[Age])</f>
        <v>38</v>
      </c>
      <c r="P936" s="22" t="str">
        <f>_xlfn.XLOOKUP(calls[[#This Row],[Customer ID]],customers[Customer ID],customers[City])</f>
        <v>Columbus</v>
      </c>
    </row>
    <row r="937" spans="2:16" x14ac:dyDescent="0.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s="22" t="str">
        <f>IF(calls[[#This Row],[Rating rounded]]&gt;=4,"Happy")</f>
        <v>Happy</v>
      </c>
      <c r="N937" s="22" t="str">
        <f>_xlfn.XLOOKUP(calls[[#This Row],[Customer ID]],customers[Customer ID],customers[Gedner])</f>
        <v>Female</v>
      </c>
      <c r="O937" s="22">
        <f>_xlfn.XLOOKUP(calls[[#This Row],[Customer ID]],customers[Customer ID],customers[Age])</f>
        <v>22</v>
      </c>
      <c r="P937" s="22" t="str">
        <f>_xlfn.XLOOKUP(calls[[#This Row],[Customer ID]],customers[Customer ID],customers[City])</f>
        <v>Cleveland</v>
      </c>
    </row>
    <row r="938" spans="2:16" x14ac:dyDescent="0.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s="22" t="str">
        <f>IF(calls[[#This Row],[Rating rounded]]&gt;=4,"Happy")</f>
        <v>Happy</v>
      </c>
      <c r="N938" s="22" t="str">
        <f>_xlfn.XLOOKUP(calls[[#This Row],[Customer ID]],customers[Customer ID],customers[Gedner])</f>
        <v>Female</v>
      </c>
      <c r="O938" s="22">
        <f>_xlfn.XLOOKUP(calls[[#This Row],[Customer ID]],customers[Customer ID],customers[Age])</f>
        <v>38</v>
      </c>
      <c r="P938" s="22" t="str">
        <f>_xlfn.XLOOKUP(calls[[#This Row],[Customer ID]],customers[Customer ID],customers[City])</f>
        <v>Columbus</v>
      </c>
    </row>
    <row r="939" spans="2:16" x14ac:dyDescent="0.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s="22" t="str">
        <f>IF(calls[[#This Row],[Rating rounded]]&gt;=4,"Happy")</f>
        <v>Happy</v>
      </c>
      <c r="N939" s="22" t="str">
        <f>_xlfn.XLOOKUP(calls[[#This Row],[Customer ID]],customers[Customer ID],customers[Gedner])</f>
        <v>Female</v>
      </c>
      <c r="O939" s="22">
        <f>_xlfn.XLOOKUP(calls[[#This Row],[Customer ID]],customers[Customer ID],customers[Age])</f>
        <v>38</v>
      </c>
      <c r="P939" s="22" t="str">
        <f>_xlfn.XLOOKUP(calls[[#This Row],[Customer ID]],customers[Customer ID],customers[City])</f>
        <v>Columbus</v>
      </c>
    </row>
    <row r="940" spans="2:16" x14ac:dyDescent="0.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s="22" t="str">
        <f>IF(calls[[#This Row],[Rating rounded]]&gt;=4,"Happy")</f>
        <v>Happy</v>
      </c>
      <c r="N940" s="22" t="str">
        <f>_xlfn.XLOOKUP(calls[[#This Row],[Customer ID]],customers[Customer ID],customers[Gedner])</f>
        <v>Female</v>
      </c>
      <c r="O940" s="22">
        <f>_xlfn.XLOOKUP(calls[[#This Row],[Customer ID]],customers[Customer ID],customers[Age])</f>
        <v>22</v>
      </c>
      <c r="P940" s="22" t="str">
        <f>_xlfn.XLOOKUP(calls[[#This Row],[Customer ID]],customers[Customer ID],customers[City])</f>
        <v>Cleveland</v>
      </c>
    </row>
    <row r="941" spans="2:16" x14ac:dyDescent="0.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s="22" t="str">
        <f>IF(calls[[#This Row],[Rating rounded]]&gt;=4,"Happy")</f>
        <v>Happy</v>
      </c>
      <c r="N941" s="22" t="str">
        <f>_xlfn.XLOOKUP(calls[[#This Row],[Customer ID]],customers[Customer ID],customers[Gedner])</f>
        <v>Male</v>
      </c>
      <c r="O941" s="22">
        <f>_xlfn.XLOOKUP(calls[[#This Row],[Customer ID]],customers[Customer ID],customers[Age])</f>
        <v>31</v>
      </c>
      <c r="P941" s="22" t="str">
        <f>_xlfn.XLOOKUP(calls[[#This Row],[Customer ID]],customers[Customer ID],customers[City])</f>
        <v>Cleveland</v>
      </c>
    </row>
    <row r="942" spans="2:16" x14ac:dyDescent="0.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s="22" t="str">
        <f>IF(calls[[#This Row],[Rating rounded]]&gt;=4,"Happy")</f>
        <v>Happy</v>
      </c>
      <c r="N942" s="22" t="str">
        <f>_xlfn.XLOOKUP(calls[[#This Row],[Customer ID]],customers[Customer ID],customers[Gedner])</f>
        <v>Male</v>
      </c>
      <c r="O942" s="22">
        <f>_xlfn.XLOOKUP(calls[[#This Row],[Customer ID]],customers[Customer ID],customers[Age])</f>
        <v>36</v>
      </c>
      <c r="P942" s="22" t="str">
        <f>_xlfn.XLOOKUP(calls[[#This Row],[Customer ID]],customers[Customer ID],customers[City])</f>
        <v>Cincinnati</v>
      </c>
    </row>
    <row r="943" spans="2:16" x14ac:dyDescent="0.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s="22" t="str">
        <f>IF(calls[[#This Row],[Rating rounded]]&gt;=4,"Happy")</f>
        <v>Happy</v>
      </c>
      <c r="N943" s="22" t="str">
        <f>_xlfn.XLOOKUP(calls[[#This Row],[Customer ID]],customers[Customer ID],customers[Gedner])</f>
        <v>Female</v>
      </c>
      <c r="O943" s="22">
        <f>_xlfn.XLOOKUP(calls[[#This Row],[Customer ID]],customers[Customer ID],customers[Age])</f>
        <v>30</v>
      </c>
      <c r="P943" s="22" t="str">
        <f>_xlfn.XLOOKUP(calls[[#This Row],[Customer ID]],customers[Customer ID],customers[City])</f>
        <v>Cincinnati</v>
      </c>
    </row>
    <row r="944" spans="2:16" x14ac:dyDescent="0.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s="22" t="str">
        <f>IF(calls[[#This Row],[Rating rounded]]&gt;=4,"Happy")</f>
        <v>Happy</v>
      </c>
      <c r="N944" s="22" t="str">
        <f>_xlfn.XLOOKUP(calls[[#This Row],[Customer ID]],customers[Customer ID],customers[Gedner])</f>
        <v>Female</v>
      </c>
      <c r="O944" s="22">
        <f>_xlfn.XLOOKUP(calls[[#This Row],[Customer ID]],customers[Customer ID],customers[Age])</f>
        <v>43</v>
      </c>
      <c r="P944" s="22" t="str">
        <f>_xlfn.XLOOKUP(calls[[#This Row],[Customer ID]],customers[Customer ID],customers[City])</f>
        <v>Cleveland</v>
      </c>
    </row>
    <row r="945" spans="2:16" x14ac:dyDescent="0.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s="22" t="b">
        <f>IF(calls[[#This Row],[Rating rounded]]&gt;=4,"Happy")</f>
        <v>0</v>
      </c>
      <c r="N945" s="22" t="str">
        <f>_xlfn.XLOOKUP(calls[[#This Row],[Customer ID]],customers[Customer ID],customers[Gedner])</f>
        <v>Female</v>
      </c>
      <c r="O945" s="22">
        <f>_xlfn.XLOOKUP(calls[[#This Row],[Customer ID]],customers[Customer ID],customers[Age])</f>
        <v>25</v>
      </c>
      <c r="P945" s="22" t="str">
        <f>_xlfn.XLOOKUP(calls[[#This Row],[Customer ID]],customers[Customer ID],customers[City])</f>
        <v>Columbus</v>
      </c>
    </row>
    <row r="946" spans="2:16" x14ac:dyDescent="0.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s="22" t="str">
        <f>IF(calls[[#This Row],[Rating rounded]]&gt;=4,"Happy")</f>
        <v>Happy</v>
      </c>
      <c r="N946" s="22" t="str">
        <f>_xlfn.XLOOKUP(calls[[#This Row],[Customer ID]],customers[Customer ID],customers[Gedner])</f>
        <v>Male</v>
      </c>
      <c r="O946" s="22">
        <f>_xlfn.XLOOKUP(calls[[#This Row],[Customer ID]],customers[Customer ID],customers[Age])</f>
        <v>37</v>
      </c>
      <c r="P946" s="22" t="str">
        <f>_xlfn.XLOOKUP(calls[[#This Row],[Customer ID]],customers[Customer ID],customers[City])</f>
        <v>Columbus</v>
      </c>
    </row>
    <row r="947" spans="2:16" x14ac:dyDescent="0.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s="22" t="str">
        <f>IF(calls[[#This Row],[Rating rounded]]&gt;=4,"Happy")</f>
        <v>Happy</v>
      </c>
      <c r="N947" s="22" t="str">
        <f>_xlfn.XLOOKUP(calls[[#This Row],[Customer ID]],customers[Customer ID],customers[Gedner])</f>
        <v>Female</v>
      </c>
      <c r="O947" s="22">
        <f>_xlfn.XLOOKUP(calls[[#This Row],[Customer ID]],customers[Customer ID],customers[Age])</f>
        <v>25</v>
      </c>
      <c r="P947" s="22" t="str">
        <f>_xlfn.XLOOKUP(calls[[#This Row],[Customer ID]],customers[Customer ID],customers[City])</f>
        <v>Columbus</v>
      </c>
    </row>
    <row r="948" spans="2:16" x14ac:dyDescent="0.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s="22" t="str">
        <f>IF(calls[[#This Row],[Rating rounded]]&gt;=4,"Happy")</f>
        <v>Happy</v>
      </c>
      <c r="N948" s="22" t="str">
        <f>_xlfn.XLOOKUP(calls[[#This Row],[Customer ID]],customers[Customer ID],customers[Gedner])</f>
        <v>Female</v>
      </c>
      <c r="O948" s="22">
        <f>_xlfn.XLOOKUP(calls[[#This Row],[Customer ID]],customers[Customer ID],customers[Age])</f>
        <v>30</v>
      </c>
      <c r="P948" s="22" t="str">
        <f>_xlfn.XLOOKUP(calls[[#This Row],[Customer ID]],customers[Customer ID],customers[City])</f>
        <v>Cleveland</v>
      </c>
    </row>
    <row r="949" spans="2:16" x14ac:dyDescent="0.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s="22" t="b">
        <f>IF(calls[[#This Row],[Rating rounded]]&gt;=4,"Happy")</f>
        <v>0</v>
      </c>
      <c r="N949" s="22" t="str">
        <f>_xlfn.XLOOKUP(calls[[#This Row],[Customer ID]],customers[Customer ID],customers[Gedner])</f>
        <v>Female</v>
      </c>
      <c r="O949" s="22">
        <f>_xlfn.XLOOKUP(calls[[#This Row],[Customer ID]],customers[Customer ID],customers[Age])</f>
        <v>37</v>
      </c>
      <c r="P949" s="22" t="str">
        <f>_xlfn.XLOOKUP(calls[[#This Row],[Customer ID]],customers[Customer ID],customers[City])</f>
        <v>Cleveland</v>
      </c>
    </row>
    <row r="950" spans="2:16" x14ac:dyDescent="0.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s="22" t="str">
        <f>IF(calls[[#This Row],[Rating rounded]]&gt;=4,"Happy")</f>
        <v>Happy</v>
      </c>
      <c r="N950" s="22" t="str">
        <f>_xlfn.XLOOKUP(calls[[#This Row],[Customer ID]],customers[Customer ID],customers[Gedner])</f>
        <v>Male</v>
      </c>
      <c r="O950" s="22">
        <f>_xlfn.XLOOKUP(calls[[#This Row],[Customer ID]],customers[Customer ID],customers[Age])</f>
        <v>37</v>
      </c>
      <c r="P950" s="22" t="str">
        <f>_xlfn.XLOOKUP(calls[[#This Row],[Customer ID]],customers[Customer ID],customers[City])</f>
        <v>Columbus</v>
      </c>
    </row>
    <row r="951" spans="2:16" x14ac:dyDescent="0.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s="22" t="str">
        <f>IF(calls[[#This Row],[Rating rounded]]&gt;=4,"Happy")</f>
        <v>Happy</v>
      </c>
      <c r="N951" s="22" t="str">
        <f>_xlfn.XLOOKUP(calls[[#This Row],[Customer ID]],customers[Customer ID],customers[Gedner])</f>
        <v>Male</v>
      </c>
      <c r="O951" s="22">
        <f>_xlfn.XLOOKUP(calls[[#This Row],[Customer ID]],customers[Customer ID],customers[Age])</f>
        <v>36</v>
      </c>
      <c r="P951" s="22" t="str">
        <f>_xlfn.XLOOKUP(calls[[#This Row],[Customer ID]],customers[Customer ID],customers[City])</f>
        <v>Cincinnati</v>
      </c>
    </row>
    <row r="952" spans="2:16" x14ac:dyDescent="0.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s="22" t="b">
        <f>IF(calls[[#This Row],[Rating rounded]]&gt;=4,"Happy")</f>
        <v>0</v>
      </c>
      <c r="N952" s="22" t="str">
        <f>_xlfn.XLOOKUP(calls[[#This Row],[Customer ID]],customers[Customer ID],customers[Gedner])</f>
        <v>Female</v>
      </c>
      <c r="O952" s="22">
        <f>_xlfn.XLOOKUP(calls[[#This Row],[Customer ID]],customers[Customer ID],customers[Age])</f>
        <v>38</v>
      </c>
      <c r="P952" s="22" t="str">
        <f>_xlfn.XLOOKUP(calls[[#This Row],[Customer ID]],customers[Customer ID],customers[City])</f>
        <v>Columbus</v>
      </c>
    </row>
    <row r="953" spans="2:16" x14ac:dyDescent="0.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s="22" t="b">
        <f>IF(calls[[#This Row],[Rating rounded]]&gt;=4,"Happy")</f>
        <v>0</v>
      </c>
      <c r="N953" s="22" t="str">
        <f>_xlfn.XLOOKUP(calls[[#This Row],[Customer ID]],customers[Customer ID],customers[Gedner])</f>
        <v>Male</v>
      </c>
      <c r="O953" s="22">
        <f>_xlfn.XLOOKUP(calls[[#This Row],[Customer ID]],customers[Customer ID],customers[Age])</f>
        <v>36</v>
      </c>
      <c r="P953" s="22" t="str">
        <f>_xlfn.XLOOKUP(calls[[#This Row],[Customer ID]],customers[Customer ID],customers[City])</f>
        <v>Cincinnati</v>
      </c>
    </row>
    <row r="954" spans="2:16" x14ac:dyDescent="0.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s="22" t="str">
        <f>IF(calls[[#This Row],[Rating rounded]]&gt;=4,"Happy")</f>
        <v>Happy</v>
      </c>
      <c r="N954" s="22" t="str">
        <f>_xlfn.XLOOKUP(calls[[#This Row],[Customer ID]],customers[Customer ID],customers[Gedner])</f>
        <v>Female</v>
      </c>
      <c r="O954" s="22">
        <f>_xlfn.XLOOKUP(calls[[#This Row],[Customer ID]],customers[Customer ID],customers[Age])</f>
        <v>30</v>
      </c>
      <c r="P954" s="22" t="str">
        <f>_xlfn.XLOOKUP(calls[[#This Row],[Customer ID]],customers[Customer ID],customers[City])</f>
        <v>Cleveland</v>
      </c>
    </row>
    <row r="955" spans="2:16" x14ac:dyDescent="0.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s="22" t="str">
        <f>IF(calls[[#This Row],[Rating rounded]]&gt;=4,"Happy")</f>
        <v>Happy</v>
      </c>
      <c r="N955" s="22" t="str">
        <f>_xlfn.XLOOKUP(calls[[#This Row],[Customer ID]],customers[Customer ID],customers[Gedner])</f>
        <v>Female</v>
      </c>
      <c r="O955" s="22">
        <f>_xlfn.XLOOKUP(calls[[#This Row],[Customer ID]],customers[Customer ID],customers[Age])</f>
        <v>38</v>
      </c>
      <c r="P955" s="22" t="str">
        <f>_xlfn.XLOOKUP(calls[[#This Row],[Customer ID]],customers[Customer ID],customers[City])</f>
        <v>Columbus</v>
      </c>
    </row>
    <row r="956" spans="2:16" x14ac:dyDescent="0.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s="22" t="str">
        <f>IF(calls[[#This Row],[Rating rounded]]&gt;=4,"Happy")</f>
        <v>Happy</v>
      </c>
      <c r="N956" s="22" t="str">
        <f>_xlfn.XLOOKUP(calls[[#This Row],[Customer ID]],customers[Customer ID],customers[Gedner])</f>
        <v>Male</v>
      </c>
      <c r="O956" s="22">
        <f>_xlfn.XLOOKUP(calls[[#This Row],[Customer ID]],customers[Customer ID],customers[Age])</f>
        <v>23</v>
      </c>
      <c r="P956" s="22" t="str">
        <f>_xlfn.XLOOKUP(calls[[#This Row],[Customer ID]],customers[Customer ID],customers[City])</f>
        <v>Columbus</v>
      </c>
    </row>
    <row r="957" spans="2:16" x14ac:dyDescent="0.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s="22" t="b">
        <f>IF(calls[[#This Row],[Rating rounded]]&gt;=4,"Happy")</f>
        <v>0</v>
      </c>
      <c r="N957" s="22" t="str">
        <f>_xlfn.XLOOKUP(calls[[#This Row],[Customer ID]],customers[Customer ID],customers[Gedner])</f>
        <v>Male</v>
      </c>
      <c r="O957" s="22">
        <f>_xlfn.XLOOKUP(calls[[#This Row],[Customer ID]],customers[Customer ID],customers[Age])</f>
        <v>36</v>
      </c>
      <c r="P957" s="22" t="str">
        <f>_xlfn.XLOOKUP(calls[[#This Row],[Customer ID]],customers[Customer ID],customers[City])</f>
        <v>Cincinnati</v>
      </c>
    </row>
    <row r="958" spans="2:16" x14ac:dyDescent="0.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s="22" t="str">
        <f>IF(calls[[#This Row],[Rating rounded]]&gt;=4,"Happy")</f>
        <v>Happy</v>
      </c>
      <c r="N958" s="22" t="str">
        <f>_xlfn.XLOOKUP(calls[[#This Row],[Customer ID]],customers[Customer ID],customers[Gedner])</f>
        <v>Female</v>
      </c>
      <c r="O958" s="22">
        <f>_xlfn.XLOOKUP(calls[[#This Row],[Customer ID]],customers[Customer ID],customers[Age])</f>
        <v>37</v>
      </c>
      <c r="P958" s="22" t="str">
        <f>_xlfn.XLOOKUP(calls[[#This Row],[Customer ID]],customers[Customer ID],customers[City])</f>
        <v>Cleveland</v>
      </c>
    </row>
    <row r="959" spans="2:16" x14ac:dyDescent="0.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s="22" t="str">
        <f>IF(calls[[#This Row],[Rating rounded]]&gt;=4,"Happy")</f>
        <v>Happy</v>
      </c>
      <c r="N959" s="22" t="str">
        <f>_xlfn.XLOOKUP(calls[[#This Row],[Customer ID]],customers[Customer ID],customers[Gedner])</f>
        <v>Female</v>
      </c>
      <c r="O959" s="22">
        <f>_xlfn.XLOOKUP(calls[[#This Row],[Customer ID]],customers[Customer ID],customers[Age])</f>
        <v>38</v>
      </c>
      <c r="P959" s="22" t="str">
        <f>_xlfn.XLOOKUP(calls[[#This Row],[Customer ID]],customers[Customer ID],customers[City])</f>
        <v>Columbus</v>
      </c>
    </row>
    <row r="960" spans="2:16" x14ac:dyDescent="0.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s="22" t="str">
        <f>IF(calls[[#This Row],[Rating rounded]]&gt;=4,"Happy")</f>
        <v>Happy</v>
      </c>
      <c r="N960" s="22" t="str">
        <f>_xlfn.XLOOKUP(calls[[#This Row],[Customer ID]],customers[Customer ID],customers[Gedner])</f>
        <v>Male</v>
      </c>
      <c r="O960" s="22">
        <f>_xlfn.XLOOKUP(calls[[#This Row],[Customer ID]],customers[Customer ID],customers[Age])</f>
        <v>23</v>
      </c>
      <c r="P960" s="22" t="str">
        <f>_xlfn.XLOOKUP(calls[[#This Row],[Customer ID]],customers[Customer ID],customers[City])</f>
        <v>Columbus</v>
      </c>
    </row>
    <row r="961" spans="2:16" x14ac:dyDescent="0.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s="22" t="b">
        <f>IF(calls[[#This Row],[Rating rounded]]&gt;=4,"Happy")</f>
        <v>0</v>
      </c>
      <c r="N961" s="22" t="str">
        <f>_xlfn.XLOOKUP(calls[[#This Row],[Customer ID]],customers[Customer ID],customers[Gedner])</f>
        <v>Female</v>
      </c>
      <c r="O961" s="22">
        <f>_xlfn.XLOOKUP(calls[[#This Row],[Customer ID]],customers[Customer ID],customers[Age])</f>
        <v>30</v>
      </c>
      <c r="P961" s="22" t="str">
        <f>_xlfn.XLOOKUP(calls[[#This Row],[Customer ID]],customers[Customer ID],customers[City])</f>
        <v>Cleveland</v>
      </c>
    </row>
    <row r="962" spans="2:16" x14ac:dyDescent="0.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s="22" t="b">
        <f>IF(calls[[#This Row],[Rating rounded]]&gt;=4,"Happy")</f>
        <v>0</v>
      </c>
      <c r="N962" s="22" t="str">
        <f>_xlfn.XLOOKUP(calls[[#This Row],[Customer ID]],customers[Customer ID],customers[Gedner])</f>
        <v>Female</v>
      </c>
      <c r="O962" s="22">
        <f>_xlfn.XLOOKUP(calls[[#This Row],[Customer ID]],customers[Customer ID],customers[Age])</f>
        <v>37</v>
      </c>
      <c r="P962" s="22" t="str">
        <f>_xlfn.XLOOKUP(calls[[#This Row],[Customer ID]],customers[Customer ID],customers[City])</f>
        <v>Cleveland</v>
      </c>
    </row>
    <row r="963" spans="2:16" x14ac:dyDescent="0.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s="22" t="str">
        <f>IF(calls[[#This Row],[Rating rounded]]&gt;=4,"Happy")</f>
        <v>Happy</v>
      </c>
      <c r="N963" s="22" t="str">
        <f>_xlfn.XLOOKUP(calls[[#This Row],[Customer ID]],customers[Customer ID],customers[Gedner])</f>
        <v>Female</v>
      </c>
      <c r="O963" s="22">
        <f>_xlfn.XLOOKUP(calls[[#This Row],[Customer ID]],customers[Customer ID],customers[Age])</f>
        <v>30</v>
      </c>
      <c r="P963" s="22" t="str">
        <f>_xlfn.XLOOKUP(calls[[#This Row],[Customer ID]],customers[Customer ID],customers[City])</f>
        <v>Cleveland</v>
      </c>
    </row>
    <row r="964" spans="2:16" x14ac:dyDescent="0.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s="22" t="str">
        <f>IF(calls[[#This Row],[Rating rounded]]&gt;=4,"Happy")</f>
        <v>Happy</v>
      </c>
      <c r="N964" s="22" t="str">
        <f>_xlfn.XLOOKUP(calls[[#This Row],[Customer ID]],customers[Customer ID],customers[Gedner])</f>
        <v>Female</v>
      </c>
      <c r="O964" s="22">
        <f>_xlfn.XLOOKUP(calls[[#This Row],[Customer ID]],customers[Customer ID],customers[Age])</f>
        <v>28</v>
      </c>
      <c r="P964" s="22" t="str">
        <f>_xlfn.XLOOKUP(calls[[#This Row],[Customer ID]],customers[Customer ID],customers[City])</f>
        <v>Cincinnati</v>
      </c>
    </row>
    <row r="965" spans="2:16" x14ac:dyDescent="0.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s="22" t="b">
        <f>IF(calls[[#This Row],[Rating rounded]]&gt;=4,"Happy")</f>
        <v>0</v>
      </c>
      <c r="N965" s="22" t="str">
        <f>_xlfn.XLOOKUP(calls[[#This Row],[Customer ID]],customers[Customer ID],customers[Gedner])</f>
        <v>Female</v>
      </c>
      <c r="O965" s="22">
        <f>_xlfn.XLOOKUP(calls[[#This Row],[Customer ID]],customers[Customer ID],customers[Age])</f>
        <v>30</v>
      </c>
      <c r="P965" s="22" t="str">
        <f>_xlfn.XLOOKUP(calls[[#This Row],[Customer ID]],customers[Customer ID],customers[City])</f>
        <v>Cleveland</v>
      </c>
    </row>
    <row r="966" spans="2:16" x14ac:dyDescent="0.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s="22" t="str">
        <f>IF(calls[[#This Row],[Rating rounded]]&gt;=4,"Happy")</f>
        <v>Happy</v>
      </c>
      <c r="N966" s="22" t="str">
        <f>_xlfn.XLOOKUP(calls[[#This Row],[Customer ID]],customers[Customer ID],customers[Gedner])</f>
        <v>Female</v>
      </c>
      <c r="O966" s="22">
        <f>_xlfn.XLOOKUP(calls[[#This Row],[Customer ID]],customers[Customer ID],customers[Age])</f>
        <v>25</v>
      </c>
      <c r="P966" s="22" t="str">
        <f>_xlfn.XLOOKUP(calls[[#This Row],[Customer ID]],customers[Customer ID],customers[City])</f>
        <v>Columbus</v>
      </c>
    </row>
    <row r="967" spans="2:16" x14ac:dyDescent="0.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s="22" t="str">
        <f>IF(calls[[#This Row],[Rating rounded]]&gt;=4,"Happy")</f>
        <v>Happy</v>
      </c>
      <c r="N967" s="22" t="str">
        <f>_xlfn.XLOOKUP(calls[[#This Row],[Customer ID]],customers[Customer ID],customers[Gedner])</f>
        <v>Female</v>
      </c>
      <c r="O967" s="22">
        <f>_xlfn.XLOOKUP(calls[[#This Row],[Customer ID]],customers[Customer ID],customers[Age])</f>
        <v>28</v>
      </c>
      <c r="P967" s="22" t="str">
        <f>_xlfn.XLOOKUP(calls[[#This Row],[Customer ID]],customers[Customer ID],customers[City])</f>
        <v>Cincinnati</v>
      </c>
    </row>
    <row r="968" spans="2:16" x14ac:dyDescent="0.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s="22" t="b">
        <f>IF(calls[[#This Row],[Rating rounded]]&gt;=4,"Happy")</f>
        <v>0</v>
      </c>
      <c r="N968" s="22" t="str">
        <f>_xlfn.XLOOKUP(calls[[#This Row],[Customer ID]],customers[Customer ID],customers[Gedner])</f>
        <v>Male</v>
      </c>
      <c r="O968" s="22">
        <f>_xlfn.XLOOKUP(calls[[#This Row],[Customer ID]],customers[Customer ID],customers[Age])</f>
        <v>37</v>
      </c>
      <c r="P968" s="22" t="str">
        <f>_xlfn.XLOOKUP(calls[[#This Row],[Customer ID]],customers[Customer ID],customers[City])</f>
        <v>Columbus</v>
      </c>
    </row>
    <row r="969" spans="2:16" x14ac:dyDescent="0.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s="22" t="str">
        <f>IF(calls[[#This Row],[Rating rounded]]&gt;=4,"Happy")</f>
        <v>Happy</v>
      </c>
      <c r="N969" s="22" t="str">
        <f>_xlfn.XLOOKUP(calls[[#This Row],[Customer ID]],customers[Customer ID],customers[Gedner])</f>
        <v>Male</v>
      </c>
      <c r="O969" s="22">
        <f>_xlfn.XLOOKUP(calls[[#This Row],[Customer ID]],customers[Customer ID],customers[Age])</f>
        <v>23</v>
      </c>
      <c r="P969" s="22" t="str">
        <f>_xlfn.XLOOKUP(calls[[#This Row],[Customer ID]],customers[Customer ID],customers[City])</f>
        <v>Columbus</v>
      </c>
    </row>
    <row r="970" spans="2:16" x14ac:dyDescent="0.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s="22" t="b">
        <f>IF(calls[[#This Row],[Rating rounded]]&gt;=4,"Happy")</f>
        <v>0</v>
      </c>
      <c r="N970" s="22" t="str">
        <f>_xlfn.XLOOKUP(calls[[#This Row],[Customer ID]],customers[Customer ID],customers[Gedner])</f>
        <v>Female</v>
      </c>
      <c r="O970" s="22">
        <f>_xlfn.XLOOKUP(calls[[#This Row],[Customer ID]],customers[Customer ID],customers[Age])</f>
        <v>42</v>
      </c>
      <c r="P970" s="22" t="str">
        <f>_xlfn.XLOOKUP(calls[[#This Row],[Customer ID]],customers[Customer ID],customers[City])</f>
        <v>Cleveland</v>
      </c>
    </row>
    <row r="971" spans="2:16" x14ac:dyDescent="0.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s="22" t="str">
        <f>IF(calls[[#This Row],[Rating rounded]]&gt;=4,"Happy")</f>
        <v>Happy</v>
      </c>
      <c r="N971" s="22" t="str">
        <f>_xlfn.XLOOKUP(calls[[#This Row],[Customer ID]],customers[Customer ID],customers[Gedner])</f>
        <v>Female</v>
      </c>
      <c r="O971" s="22">
        <f>_xlfn.XLOOKUP(calls[[#This Row],[Customer ID]],customers[Customer ID],customers[Age])</f>
        <v>22</v>
      </c>
      <c r="P971" s="22" t="str">
        <f>_xlfn.XLOOKUP(calls[[#This Row],[Customer ID]],customers[Customer ID],customers[City])</f>
        <v>Cleveland</v>
      </c>
    </row>
    <row r="972" spans="2:16" x14ac:dyDescent="0.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s="22" t="b">
        <f>IF(calls[[#This Row],[Rating rounded]]&gt;=4,"Happy")</f>
        <v>0</v>
      </c>
      <c r="N972" s="22" t="str">
        <f>_xlfn.XLOOKUP(calls[[#This Row],[Customer ID]],customers[Customer ID],customers[Gedner])</f>
        <v>Male</v>
      </c>
      <c r="O972" s="22">
        <f>_xlfn.XLOOKUP(calls[[#This Row],[Customer ID]],customers[Customer ID],customers[Age])</f>
        <v>41</v>
      </c>
      <c r="P972" s="22" t="str">
        <f>_xlfn.XLOOKUP(calls[[#This Row],[Customer ID]],customers[Customer ID],customers[City])</f>
        <v>Columbus</v>
      </c>
    </row>
    <row r="973" spans="2:16" x14ac:dyDescent="0.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s="22" t="str">
        <f>IF(calls[[#This Row],[Rating rounded]]&gt;=4,"Happy")</f>
        <v>Happy</v>
      </c>
      <c r="N973" s="22" t="str">
        <f>_xlfn.XLOOKUP(calls[[#This Row],[Customer ID]],customers[Customer ID],customers[Gedner])</f>
        <v>Female</v>
      </c>
      <c r="O973" s="22">
        <f>_xlfn.XLOOKUP(calls[[#This Row],[Customer ID]],customers[Customer ID],customers[Age])</f>
        <v>42</v>
      </c>
      <c r="P973" s="22" t="str">
        <f>_xlfn.XLOOKUP(calls[[#This Row],[Customer ID]],customers[Customer ID],customers[City])</f>
        <v>Cleveland</v>
      </c>
    </row>
    <row r="974" spans="2:16" x14ac:dyDescent="0.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s="22" t="b">
        <f>IF(calls[[#This Row],[Rating rounded]]&gt;=4,"Happy")</f>
        <v>0</v>
      </c>
      <c r="N974" s="22" t="str">
        <f>_xlfn.XLOOKUP(calls[[#This Row],[Customer ID]],customers[Customer ID],customers[Gedner])</f>
        <v>Male</v>
      </c>
      <c r="O974" s="22">
        <f>_xlfn.XLOOKUP(calls[[#This Row],[Customer ID]],customers[Customer ID],customers[Age])</f>
        <v>37</v>
      </c>
      <c r="P974" s="22" t="str">
        <f>_xlfn.XLOOKUP(calls[[#This Row],[Customer ID]],customers[Customer ID],customers[City])</f>
        <v>Columbus</v>
      </c>
    </row>
    <row r="975" spans="2:16" x14ac:dyDescent="0.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s="22" t="b">
        <f>IF(calls[[#This Row],[Rating rounded]]&gt;=4,"Happy")</f>
        <v>0</v>
      </c>
      <c r="N975" s="22" t="str">
        <f>_xlfn.XLOOKUP(calls[[#This Row],[Customer ID]],customers[Customer ID],customers[Gedner])</f>
        <v>Male</v>
      </c>
      <c r="O975" s="22">
        <f>_xlfn.XLOOKUP(calls[[#This Row],[Customer ID]],customers[Customer ID],customers[Age])</f>
        <v>31</v>
      </c>
      <c r="P975" s="22" t="str">
        <f>_xlfn.XLOOKUP(calls[[#This Row],[Customer ID]],customers[Customer ID],customers[City])</f>
        <v>Cleveland</v>
      </c>
    </row>
    <row r="976" spans="2:16" x14ac:dyDescent="0.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s="22" t="str">
        <f>IF(calls[[#This Row],[Rating rounded]]&gt;=4,"Happy")</f>
        <v>Happy</v>
      </c>
      <c r="N976" s="22" t="str">
        <f>_xlfn.XLOOKUP(calls[[#This Row],[Customer ID]],customers[Customer ID],customers[Gedner])</f>
        <v>Female</v>
      </c>
      <c r="O976" s="22">
        <f>_xlfn.XLOOKUP(calls[[#This Row],[Customer ID]],customers[Customer ID],customers[Age])</f>
        <v>30</v>
      </c>
      <c r="P976" s="22" t="str">
        <f>_xlfn.XLOOKUP(calls[[#This Row],[Customer ID]],customers[Customer ID],customers[City])</f>
        <v>Cleveland</v>
      </c>
    </row>
    <row r="977" spans="2:16" x14ac:dyDescent="0.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s="22" t="str">
        <f>IF(calls[[#This Row],[Rating rounded]]&gt;=4,"Happy")</f>
        <v>Happy</v>
      </c>
      <c r="N977" s="22" t="str">
        <f>_xlfn.XLOOKUP(calls[[#This Row],[Customer ID]],customers[Customer ID],customers[Gedner])</f>
        <v>Female</v>
      </c>
      <c r="O977" s="22">
        <f>_xlfn.XLOOKUP(calls[[#This Row],[Customer ID]],customers[Customer ID],customers[Age])</f>
        <v>43</v>
      </c>
      <c r="P977" s="22" t="str">
        <f>_xlfn.XLOOKUP(calls[[#This Row],[Customer ID]],customers[Customer ID],customers[City])</f>
        <v>Cleveland</v>
      </c>
    </row>
    <row r="978" spans="2:16" x14ac:dyDescent="0.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s="22" t="str">
        <f>IF(calls[[#This Row],[Rating rounded]]&gt;=4,"Happy")</f>
        <v>Happy</v>
      </c>
      <c r="N978" s="22" t="str">
        <f>_xlfn.XLOOKUP(calls[[#This Row],[Customer ID]],customers[Customer ID],customers[Gedner])</f>
        <v>Male</v>
      </c>
      <c r="O978" s="22">
        <f>_xlfn.XLOOKUP(calls[[#This Row],[Customer ID]],customers[Customer ID],customers[Age])</f>
        <v>37</v>
      </c>
      <c r="P978" s="22" t="str">
        <f>_xlfn.XLOOKUP(calls[[#This Row],[Customer ID]],customers[Customer ID],customers[City])</f>
        <v>Columbus</v>
      </c>
    </row>
    <row r="979" spans="2:16" x14ac:dyDescent="0.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s="22" t="str">
        <f>IF(calls[[#This Row],[Rating rounded]]&gt;=4,"Happy")</f>
        <v>Happy</v>
      </c>
      <c r="N979" s="22" t="str">
        <f>_xlfn.XLOOKUP(calls[[#This Row],[Customer ID]],customers[Customer ID],customers[Gedner])</f>
        <v>Female</v>
      </c>
      <c r="O979" s="22">
        <f>_xlfn.XLOOKUP(calls[[#This Row],[Customer ID]],customers[Customer ID],customers[Age])</f>
        <v>37</v>
      </c>
      <c r="P979" s="22" t="str">
        <f>_xlfn.XLOOKUP(calls[[#This Row],[Customer ID]],customers[Customer ID],customers[City])</f>
        <v>Cleveland</v>
      </c>
    </row>
    <row r="980" spans="2:16" x14ac:dyDescent="0.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s="22" t="str">
        <f>IF(calls[[#This Row],[Rating rounded]]&gt;=4,"Happy")</f>
        <v>Happy</v>
      </c>
      <c r="N980" s="22" t="str">
        <f>_xlfn.XLOOKUP(calls[[#This Row],[Customer ID]],customers[Customer ID],customers[Gedner])</f>
        <v>Male</v>
      </c>
      <c r="O980" s="22">
        <f>_xlfn.XLOOKUP(calls[[#This Row],[Customer ID]],customers[Customer ID],customers[Age])</f>
        <v>37</v>
      </c>
      <c r="P980" s="22" t="str">
        <f>_xlfn.XLOOKUP(calls[[#This Row],[Customer ID]],customers[Customer ID],customers[City])</f>
        <v>Columbus</v>
      </c>
    </row>
    <row r="981" spans="2:16" x14ac:dyDescent="0.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s="22" t="str">
        <f>IF(calls[[#This Row],[Rating rounded]]&gt;=4,"Happy")</f>
        <v>Happy</v>
      </c>
      <c r="N981" s="22" t="str">
        <f>_xlfn.XLOOKUP(calls[[#This Row],[Customer ID]],customers[Customer ID],customers[Gedner])</f>
        <v>Female</v>
      </c>
      <c r="O981" s="22">
        <f>_xlfn.XLOOKUP(calls[[#This Row],[Customer ID]],customers[Customer ID],customers[Age])</f>
        <v>25</v>
      </c>
      <c r="P981" s="22" t="str">
        <f>_xlfn.XLOOKUP(calls[[#This Row],[Customer ID]],customers[Customer ID],customers[City])</f>
        <v>Columbus</v>
      </c>
    </row>
    <row r="982" spans="2:16" x14ac:dyDescent="0.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s="22" t="str">
        <f>IF(calls[[#This Row],[Rating rounded]]&gt;=4,"Happy")</f>
        <v>Happy</v>
      </c>
      <c r="N982" s="22" t="str">
        <f>_xlfn.XLOOKUP(calls[[#This Row],[Customer ID]],customers[Customer ID],customers[Gedner])</f>
        <v>Female</v>
      </c>
      <c r="O982" s="22">
        <f>_xlfn.XLOOKUP(calls[[#This Row],[Customer ID]],customers[Customer ID],customers[Age])</f>
        <v>30</v>
      </c>
      <c r="P982" s="22" t="str">
        <f>_xlfn.XLOOKUP(calls[[#This Row],[Customer ID]],customers[Customer ID],customers[City])</f>
        <v>Cincinnati</v>
      </c>
    </row>
    <row r="983" spans="2:16" x14ac:dyDescent="0.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s="22" t="b">
        <f>IF(calls[[#This Row],[Rating rounded]]&gt;=4,"Happy")</f>
        <v>0</v>
      </c>
      <c r="N983" s="22" t="str">
        <f>_xlfn.XLOOKUP(calls[[#This Row],[Customer ID]],customers[Customer ID],customers[Gedner])</f>
        <v>Female</v>
      </c>
      <c r="O983" s="22">
        <f>_xlfn.XLOOKUP(calls[[#This Row],[Customer ID]],customers[Customer ID],customers[Age])</f>
        <v>22</v>
      </c>
      <c r="P983" s="22" t="str">
        <f>_xlfn.XLOOKUP(calls[[#This Row],[Customer ID]],customers[Customer ID],customers[City])</f>
        <v>Cleveland</v>
      </c>
    </row>
    <row r="984" spans="2:16" x14ac:dyDescent="0.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s="22" t="b">
        <f>IF(calls[[#This Row],[Rating rounded]]&gt;=4,"Happy")</f>
        <v>0</v>
      </c>
      <c r="N984" s="22" t="str">
        <f>_xlfn.XLOOKUP(calls[[#This Row],[Customer ID]],customers[Customer ID],customers[Gedner])</f>
        <v>Female</v>
      </c>
      <c r="O984" s="22">
        <f>_xlfn.XLOOKUP(calls[[#This Row],[Customer ID]],customers[Customer ID],customers[Age])</f>
        <v>42</v>
      </c>
      <c r="P984" s="22" t="str">
        <f>_xlfn.XLOOKUP(calls[[#This Row],[Customer ID]],customers[Customer ID],customers[City])</f>
        <v>Cleveland</v>
      </c>
    </row>
    <row r="985" spans="2:16" x14ac:dyDescent="0.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s="22" t="str">
        <f>IF(calls[[#This Row],[Rating rounded]]&gt;=4,"Happy")</f>
        <v>Happy</v>
      </c>
      <c r="N985" s="22" t="str">
        <f>_xlfn.XLOOKUP(calls[[#This Row],[Customer ID]],customers[Customer ID],customers[Gedner])</f>
        <v>Female</v>
      </c>
      <c r="O985" s="22">
        <f>_xlfn.XLOOKUP(calls[[#This Row],[Customer ID]],customers[Customer ID],customers[Age])</f>
        <v>38</v>
      </c>
      <c r="P985" s="22" t="str">
        <f>_xlfn.XLOOKUP(calls[[#This Row],[Customer ID]],customers[Customer ID],customers[City])</f>
        <v>Columbus</v>
      </c>
    </row>
    <row r="986" spans="2:16" x14ac:dyDescent="0.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s="22" t="b">
        <f>IF(calls[[#This Row],[Rating rounded]]&gt;=4,"Happy")</f>
        <v>0</v>
      </c>
      <c r="N986" s="22" t="str">
        <f>_xlfn.XLOOKUP(calls[[#This Row],[Customer ID]],customers[Customer ID],customers[Gedner])</f>
        <v>Male</v>
      </c>
      <c r="O986" s="22">
        <f>_xlfn.XLOOKUP(calls[[#This Row],[Customer ID]],customers[Customer ID],customers[Age])</f>
        <v>23</v>
      </c>
      <c r="P986" s="22" t="str">
        <f>_xlfn.XLOOKUP(calls[[#This Row],[Customer ID]],customers[Customer ID],customers[City])</f>
        <v>Columbus</v>
      </c>
    </row>
    <row r="987" spans="2:16" x14ac:dyDescent="0.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s="22" t="b">
        <f>IF(calls[[#This Row],[Rating rounded]]&gt;=4,"Happy")</f>
        <v>0</v>
      </c>
      <c r="N987" s="22" t="str">
        <f>_xlfn.XLOOKUP(calls[[#This Row],[Customer ID]],customers[Customer ID],customers[Gedner])</f>
        <v>Female</v>
      </c>
      <c r="O987" s="22">
        <f>_xlfn.XLOOKUP(calls[[#This Row],[Customer ID]],customers[Customer ID],customers[Age])</f>
        <v>37</v>
      </c>
      <c r="P987" s="22" t="str">
        <f>_xlfn.XLOOKUP(calls[[#This Row],[Customer ID]],customers[Customer ID],customers[City])</f>
        <v>Cleveland</v>
      </c>
    </row>
    <row r="988" spans="2:16" x14ac:dyDescent="0.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s="22" t="str">
        <f>IF(calls[[#This Row],[Rating rounded]]&gt;=4,"Happy")</f>
        <v>Happy</v>
      </c>
      <c r="N988" s="22" t="str">
        <f>_xlfn.XLOOKUP(calls[[#This Row],[Customer ID]],customers[Customer ID],customers[Gedner])</f>
        <v>Male</v>
      </c>
      <c r="O988" s="22">
        <f>_xlfn.XLOOKUP(calls[[#This Row],[Customer ID]],customers[Customer ID],customers[Age])</f>
        <v>36</v>
      </c>
      <c r="P988" s="22" t="str">
        <f>_xlfn.XLOOKUP(calls[[#This Row],[Customer ID]],customers[Customer ID],customers[City])</f>
        <v>Cincinnati</v>
      </c>
    </row>
    <row r="989" spans="2:16" x14ac:dyDescent="0.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s="22" t="str">
        <f>IF(calls[[#This Row],[Rating rounded]]&gt;=4,"Happy")</f>
        <v>Happy</v>
      </c>
      <c r="N989" s="22" t="str">
        <f>_xlfn.XLOOKUP(calls[[#This Row],[Customer ID]],customers[Customer ID],customers[Gedner])</f>
        <v>Male</v>
      </c>
      <c r="O989" s="22">
        <f>_xlfn.XLOOKUP(calls[[#This Row],[Customer ID]],customers[Customer ID],customers[Age])</f>
        <v>26</v>
      </c>
      <c r="P989" s="22" t="str">
        <f>_xlfn.XLOOKUP(calls[[#This Row],[Customer ID]],customers[Customer ID],customers[City])</f>
        <v>Cincinnati</v>
      </c>
    </row>
    <row r="990" spans="2:16" x14ac:dyDescent="0.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s="22" t="str">
        <f>IF(calls[[#This Row],[Rating rounded]]&gt;=4,"Happy")</f>
        <v>Happy</v>
      </c>
      <c r="N990" s="22" t="str">
        <f>_xlfn.XLOOKUP(calls[[#This Row],[Customer ID]],customers[Customer ID],customers[Gedner])</f>
        <v>Male</v>
      </c>
      <c r="O990" s="22">
        <f>_xlfn.XLOOKUP(calls[[#This Row],[Customer ID]],customers[Customer ID],customers[Age])</f>
        <v>26</v>
      </c>
      <c r="P990" s="22" t="str">
        <f>_xlfn.XLOOKUP(calls[[#This Row],[Customer ID]],customers[Customer ID],customers[City])</f>
        <v>Cincinnati</v>
      </c>
    </row>
    <row r="991" spans="2:16" x14ac:dyDescent="0.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s="22" t="str">
        <f>IF(calls[[#This Row],[Rating rounded]]&gt;=4,"Happy")</f>
        <v>Happy</v>
      </c>
      <c r="N991" s="22" t="str">
        <f>_xlfn.XLOOKUP(calls[[#This Row],[Customer ID]],customers[Customer ID],customers[Gedner])</f>
        <v>Female</v>
      </c>
      <c r="O991" s="22">
        <f>_xlfn.XLOOKUP(calls[[#This Row],[Customer ID]],customers[Customer ID],customers[Age])</f>
        <v>25</v>
      </c>
      <c r="P991" s="22" t="str">
        <f>_xlfn.XLOOKUP(calls[[#This Row],[Customer ID]],customers[Customer ID],customers[City])</f>
        <v>Columbus</v>
      </c>
    </row>
    <row r="992" spans="2:16" x14ac:dyDescent="0.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s="22" t="str">
        <f>IF(calls[[#This Row],[Rating rounded]]&gt;=4,"Happy")</f>
        <v>Happy</v>
      </c>
      <c r="N992" s="22" t="str">
        <f>_xlfn.XLOOKUP(calls[[#This Row],[Customer ID]],customers[Customer ID],customers[Gedner])</f>
        <v>Male</v>
      </c>
      <c r="O992" s="22">
        <f>_xlfn.XLOOKUP(calls[[#This Row],[Customer ID]],customers[Customer ID],customers[Age])</f>
        <v>23</v>
      </c>
      <c r="P992" s="22" t="str">
        <f>_xlfn.XLOOKUP(calls[[#This Row],[Customer ID]],customers[Customer ID],customers[City])</f>
        <v>Columbus</v>
      </c>
    </row>
    <row r="993" spans="2:16" x14ac:dyDescent="0.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s="22" t="str">
        <f>IF(calls[[#This Row],[Rating rounded]]&gt;=4,"Happy")</f>
        <v>Happy</v>
      </c>
      <c r="N993" s="22" t="str">
        <f>_xlfn.XLOOKUP(calls[[#This Row],[Customer ID]],customers[Customer ID],customers[Gedner])</f>
        <v>Male</v>
      </c>
      <c r="O993" s="22">
        <f>_xlfn.XLOOKUP(calls[[#This Row],[Customer ID]],customers[Customer ID],customers[Age])</f>
        <v>31</v>
      </c>
      <c r="P993" s="22" t="str">
        <f>_xlfn.XLOOKUP(calls[[#This Row],[Customer ID]],customers[Customer ID],customers[City])</f>
        <v>Cleveland</v>
      </c>
    </row>
    <row r="994" spans="2:16" x14ac:dyDescent="0.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s="22" t="str">
        <f>IF(calls[[#This Row],[Rating rounded]]&gt;=4,"Happy")</f>
        <v>Happy</v>
      </c>
      <c r="N994" s="22" t="str">
        <f>_xlfn.XLOOKUP(calls[[#This Row],[Customer ID]],customers[Customer ID],customers[Gedner])</f>
        <v>Male</v>
      </c>
      <c r="O994" s="22">
        <f>_xlfn.XLOOKUP(calls[[#This Row],[Customer ID]],customers[Customer ID],customers[Age])</f>
        <v>37</v>
      </c>
      <c r="P994" s="22" t="str">
        <f>_xlfn.XLOOKUP(calls[[#This Row],[Customer ID]],customers[Customer ID],customers[City])</f>
        <v>Columbus</v>
      </c>
    </row>
    <row r="995" spans="2:16" x14ac:dyDescent="0.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s="22" t="str">
        <f>IF(calls[[#This Row],[Rating rounded]]&gt;=4,"Happy")</f>
        <v>Happy</v>
      </c>
      <c r="N995" s="22" t="str">
        <f>_xlfn.XLOOKUP(calls[[#This Row],[Customer ID]],customers[Customer ID],customers[Gedner])</f>
        <v>Female</v>
      </c>
      <c r="O995" s="22">
        <f>_xlfn.XLOOKUP(calls[[#This Row],[Customer ID]],customers[Customer ID],customers[Age])</f>
        <v>30</v>
      </c>
      <c r="P995" s="22" t="str">
        <f>_xlfn.XLOOKUP(calls[[#This Row],[Customer ID]],customers[Customer ID],customers[City])</f>
        <v>Cincinnati</v>
      </c>
    </row>
    <row r="996" spans="2:16" x14ac:dyDescent="0.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s="22" t="str">
        <f>IF(calls[[#This Row],[Rating rounded]]&gt;=4,"Happy")</f>
        <v>Happy</v>
      </c>
      <c r="N996" s="22" t="str">
        <f>_xlfn.XLOOKUP(calls[[#This Row],[Customer ID]],customers[Customer ID],customers[Gedner])</f>
        <v>Female</v>
      </c>
      <c r="O996" s="22">
        <f>_xlfn.XLOOKUP(calls[[#This Row],[Customer ID]],customers[Customer ID],customers[Age])</f>
        <v>38</v>
      </c>
      <c r="P996" s="22" t="str">
        <f>_xlfn.XLOOKUP(calls[[#This Row],[Customer ID]],customers[Customer ID],customers[City])</f>
        <v>Columbus</v>
      </c>
    </row>
    <row r="997" spans="2:16" x14ac:dyDescent="0.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s="22" t="b">
        <f>IF(calls[[#This Row],[Rating rounded]]&gt;=4,"Happy")</f>
        <v>0</v>
      </c>
      <c r="N997" s="22" t="str">
        <f>_xlfn.XLOOKUP(calls[[#This Row],[Customer ID]],customers[Customer ID],customers[Gedner])</f>
        <v>Male</v>
      </c>
      <c r="O997" s="22">
        <f>_xlfn.XLOOKUP(calls[[#This Row],[Customer ID]],customers[Customer ID],customers[Age])</f>
        <v>23</v>
      </c>
      <c r="P997" s="22" t="str">
        <f>_xlfn.XLOOKUP(calls[[#This Row],[Customer ID]],customers[Customer ID],customers[City])</f>
        <v>Columbus</v>
      </c>
    </row>
    <row r="998" spans="2:16" x14ac:dyDescent="0.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s="22" t="str">
        <f>IF(calls[[#This Row],[Rating rounded]]&gt;=4,"Happy")</f>
        <v>Happy</v>
      </c>
      <c r="N998" s="22" t="str">
        <f>_xlfn.XLOOKUP(calls[[#This Row],[Customer ID]],customers[Customer ID],customers[Gedner])</f>
        <v>Female</v>
      </c>
      <c r="O998" s="22">
        <f>_xlfn.XLOOKUP(calls[[#This Row],[Customer ID]],customers[Customer ID],customers[Age])</f>
        <v>38</v>
      </c>
      <c r="P998" s="22" t="str">
        <f>_xlfn.XLOOKUP(calls[[#This Row],[Customer ID]],customers[Customer ID],customers[City])</f>
        <v>Columbus</v>
      </c>
    </row>
    <row r="999" spans="2:16" x14ac:dyDescent="0.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s="22" t="str">
        <f>IF(calls[[#This Row],[Rating rounded]]&gt;=4,"Happy")</f>
        <v>Happy</v>
      </c>
      <c r="N999" s="22" t="str">
        <f>_xlfn.XLOOKUP(calls[[#This Row],[Customer ID]],customers[Customer ID],customers[Gedner])</f>
        <v>Male</v>
      </c>
      <c r="O999" s="22">
        <f>_xlfn.XLOOKUP(calls[[#This Row],[Customer ID]],customers[Customer ID],customers[Age])</f>
        <v>31</v>
      </c>
      <c r="P999" s="22" t="str">
        <f>_xlfn.XLOOKUP(calls[[#This Row],[Customer ID]],customers[Customer ID],customers[City])</f>
        <v>Cleveland</v>
      </c>
    </row>
    <row r="1000" spans="2:16" x14ac:dyDescent="0.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s="22" t="str">
        <f>IF(calls[[#This Row],[Rating rounded]]&gt;=4,"Happy")</f>
        <v>Happy</v>
      </c>
      <c r="N1000" s="22" t="str">
        <f>_xlfn.XLOOKUP(calls[[#This Row],[Customer ID]],customers[Customer ID],customers[Gedner])</f>
        <v>Female</v>
      </c>
      <c r="O1000" s="22">
        <f>_xlfn.XLOOKUP(calls[[#This Row],[Customer ID]],customers[Customer ID],customers[Age])</f>
        <v>22</v>
      </c>
      <c r="P1000" s="22" t="str">
        <f>_xlfn.XLOOKUP(calls[[#This Row],[Customer ID]],customers[Customer ID],customers[City])</f>
        <v>Cleveland</v>
      </c>
    </row>
    <row r="1001" spans="2:16" x14ac:dyDescent="0.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s="22" t="b">
        <f>IF(calls[[#This Row],[Rating rounded]]&gt;=4,"Happy")</f>
        <v>0</v>
      </c>
      <c r="N1001" s="22" t="str">
        <f>_xlfn.XLOOKUP(calls[[#This Row],[Customer ID]],customers[Customer ID],customers[Gedner])</f>
        <v>Female</v>
      </c>
      <c r="O1001" s="22">
        <f>_xlfn.XLOOKUP(calls[[#This Row],[Customer ID]],customers[Customer ID],customers[Age])</f>
        <v>37</v>
      </c>
      <c r="P1001" s="22" t="str">
        <f>_xlfn.XLOOKUP(calls[[#This Row],[Customer ID]],customers[Customer ID],customers[City])</f>
        <v>Cleveland</v>
      </c>
    </row>
    <row r="1002" spans="2:16" x14ac:dyDescent="0.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s="22" t="str">
        <f>IF(calls[[#This Row],[Rating rounded]]&gt;=4,"Happy")</f>
        <v>Happy</v>
      </c>
      <c r="N1002" s="22" t="str">
        <f>_xlfn.XLOOKUP(calls[[#This Row],[Customer ID]],customers[Customer ID],customers[Gedner])</f>
        <v>Female</v>
      </c>
      <c r="O1002" s="22">
        <f>_xlfn.XLOOKUP(calls[[#This Row],[Customer ID]],customers[Customer ID],customers[Age])</f>
        <v>30</v>
      </c>
      <c r="P1002" s="22" t="str">
        <f>_xlfn.XLOOKUP(calls[[#This Row],[Customer ID]],customers[Customer ID],customers[City])</f>
        <v>Cleveland</v>
      </c>
    </row>
    <row r="1003" spans="2:16" x14ac:dyDescent="0.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s="22" t="str">
        <f>IF(calls[[#This Row],[Rating rounded]]&gt;=4,"Happy")</f>
        <v>Happy</v>
      </c>
      <c r="N1003" s="22" t="str">
        <f>_xlfn.XLOOKUP(calls[[#This Row],[Customer ID]],customers[Customer ID],customers[Gedner])</f>
        <v>Female</v>
      </c>
      <c r="O1003" s="22">
        <f>_xlfn.XLOOKUP(calls[[#This Row],[Customer ID]],customers[Customer ID],customers[Age])</f>
        <v>25</v>
      </c>
      <c r="P1003" s="22" t="str">
        <f>_xlfn.XLOOKUP(calls[[#This Row],[Customer ID]],customers[Customer ID],customers[City])</f>
        <v>Columbus</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5" sqref="F5"/>
    </sheetView>
  </sheetViews>
  <sheetFormatPr baseColWidth="10" defaultColWidth="8.83203125" defaultRowHeight="15" x14ac:dyDescent="0.2"/>
  <cols>
    <col min="5" max="5" width="10.83203125" customWidth="1"/>
    <col min="6" max="6" width="9.83203125" customWidth="1"/>
  </cols>
  <sheetData>
    <row r="2" spans="5:6" x14ac:dyDescent="0.2">
      <c r="E2" t="s">
        <v>1040</v>
      </c>
      <c r="F2" t="s">
        <v>1041</v>
      </c>
    </row>
    <row r="3" spans="5:6" ht="25.5" customHeight="1" x14ac:dyDescent="0.2">
      <c r="E3" t="s">
        <v>11</v>
      </c>
      <c r="F3" t="e" vm="1">
        <v>#VALUE!</v>
      </c>
    </row>
    <row r="4" spans="5:6" ht="25.5" customHeight="1" x14ac:dyDescent="0.2">
      <c r="E4" t="s">
        <v>9</v>
      </c>
      <c r="F4" t="e" vm="2">
        <v>#VALUE!</v>
      </c>
    </row>
    <row r="5" spans="5:6" ht="25.5" customHeight="1" x14ac:dyDescent="0.2">
      <c r="E5" t="s">
        <v>6</v>
      </c>
      <c r="F5" t="e" vm="3">
        <v>#VALUE!</v>
      </c>
    </row>
    <row r="6" spans="5:6" ht="25.5" customHeight="1" x14ac:dyDescent="0.2">
      <c r="E6" t="s">
        <v>13</v>
      </c>
      <c r="F6" t="e" vm="4">
        <v>#VALUE!</v>
      </c>
    </row>
    <row r="7" spans="5:6" ht="25.5" customHeight="1" x14ac:dyDescent="0.2">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Dikeola Ogunmola</cp:lastModifiedBy>
  <dcterms:created xsi:type="dcterms:W3CDTF">2021-03-14T20:21:32Z</dcterms:created>
  <dcterms:modified xsi:type="dcterms:W3CDTF">2026-04-12T15:28:40Z</dcterms:modified>
</cp:coreProperties>
</file>