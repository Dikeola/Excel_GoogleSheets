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 &amp; AVERAGE (Demo)" sheetId="1" state="visible" r:id="rId1"/>
    <sheet xmlns:r="http://schemas.openxmlformats.org/officeDocument/2006/relationships" name="SUM &amp; AVERAGE (Practice)" sheetId="2" state="visible" r:id="rId2"/>
    <sheet xmlns:r="http://schemas.openxmlformats.org/officeDocument/2006/relationships" name="COUNT Functions (Demo)" sheetId="3" state="visible" r:id="rId3"/>
    <sheet xmlns:r="http://schemas.openxmlformats.org/officeDocument/2006/relationships" name="COUNT Functions (Practice)" sheetId="4" state="visible" r:id="rId4"/>
    <sheet xmlns:r="http://schemas.openxmlformats.org/officeDocument/2006/relationships" name="Math &amp; Round (Demo)" sheetId="5" state="visible" r:id="rId5"/>
    <sheet xmlns:r="http://schemas.openxmlformats.org/officeDocument/2006/relationships" name="Math &amp; Round (Practice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"/>
    <numFmt numFmtId="166" formatCode="$#,##0.00"/>
  </numFmts>
  <fonts count="13">
    <font>
      <name val="Calibri"/>
      <family val="2"/>
      <color theme="1"/>
      <sz val="11"/>
      <scheme val="minor"/>
    </font>
    <font>
      <b val="1"/>
      <color rgb="00333333"/>
      <sz val="18"/>
    </font>
    <font>
      <b val="1"/>
      <color rgb="000066CC"/>
      <sz val="14"/>
    </font>
    <font>
      <b val="1"/>
      <color rgb="00FFFFFF"/>
    </font>
    <font>
      <name val="Courier New"/>
      <sz val="9"/>
    </font>
    <font>
      <b val="1"/>
      <sz val="11"/>
    </font>
    <font>
      <b val="1"/>
    </font>
    <font>
      <i val="1"/>
      <color rgb="00666666"/>
      <sz val="9"/>
    </font>
    <font>
      <b val="1"/>
      <sz val="10"/>
    </font>
    <font>
      <color rgb="00666666"/>
      <sz val="9"/>
    </font>
    <font>
      <b val="1"/>
      <color rgb="000066CC"/>
      <sz val="12"/>
    </font>
    <font>
      <sz val="10"/>
    </font>
    <font>
      <i val="1"/>
      <sz val="10"/>
    </font>
  </fonts>
  <fills count="5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  <fill>
      <patternFill patternType="solid">
        <fgColor rgb="00E6F0FA"/>
        <bgColor rgb="00E6F0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0" fillId="3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164" fontId="0" fillId="0" borderId="1" pivotButton="0" quotePrefix="0" xfId="0"/>
    <xf numFmtId="0" fontId="6" fillId="0" borderId="1" pivotButton="0" quotePrefix="0" xfId="0"/>
    <xf numFmtId="164" fontId="6" fillId="0" borderId="1" pivotButton="0" quotePrefix="0" xfId="0"/>
    <xf numFmtId="165" fontId="0" fillId="0" borderId="1" pivotButton="0" quotePrefix="0" xfId="0"/>
    <xf numFmtId="0" fontId="7" fillId="0" borderId="0" pivotButton="0" quotePrefix="0" xfId="0"/>
    <xf numFmtId="0" fontId="0" fillId="4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7" fillId="4" borderId="0" pivotButton="0" quotePrefix="0" xfId="0"/>
    <xf numFmtId="0" fontId="0" fillId="4" borderId="0" pivotButton="0" quotePrefix="0" xfId="0"/>
    <xf numFmtId="166" fontId="0" fillId="0" borderId="1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2" ht="30" customHeight="1">
      <c r="B2" s="1" t="inlineStr">
        <is>
          <t>SUM &amp; AVERAGE FUNCTIONS - DEMO</t>
        </is>
      </c>
    </row>
    <row r="4">
      <c r="B4" s="2" t="inlineStr">
        <is>
          <t>FUNCTION SYNTAX</t>
        </is>
      </c>
    </row>
    <row r="6">
      <c r="B6" s="3" t="inlineStr">
        <is>
          <t>Function</t>
        </is>
      </c>
      <c r="C6" s="3" t="inlineStr">
        <is>
          <t>Syntax</t>
        </is>
      </c>
      <c r="D6" s="3" t="inlineStr">
        <is>
          <t>Description</t>
        </is>
      </c>
      <c r="E6" s="3" t="inlineStr">
        <is>
          <t>Example</t>
        </is>
      </c>
    </row>
    <row r="7">
      <c r="B7" s="4" t="inlineStr">
        <is>
          <t>SUM</t>
        </is>
      </c>
      <c r="C7" s="5">
        <f>SUM(number1, [number2], ...)</f>
        <v/>
      </c>
      <c r="D7" s="4" t="inlineStr">
        <is>
          <t>Adds all numbers in range</t>
        </is>
      </c>
      <c r="E7" s="5">
        <f>SUM(A1:A10)</f>
        <v/>
      </c>
    </row>
    <row r="8">
      <c r="B8" s="6" t="inlineStr">
        <is>
          <t>SUM</t>
        </is>
      </c>
      <c r="C8" s="7">
        <f>SUM(range1, range2, ...)</f>
        <v/>
      </c>
      <c r="D8" s="6" t="inlineStr">
        <is>
          <t>Adds multiple ranges</t>
        </is>
      </c>
      <c r="E8" s="7">
        <f>SUM(A1:A10, C1:C10)</f>
        <v/>
      </c>
    </row>
    <row r="9">
      <c r="B9" s="4" t="inlineStr">
        <is>
          <t>AVERAGE</t>
        </is>
      </c>
      <c r="C9" s="5">
        <f>AVERAGE(number1, [number2], ...)</f>
        <v/>
      </c>
      <c r="D9" s="4" t="inlineStr">
        <is>
          <t>Calculates arithmetic mean</t>
        </is>
      </c>
      <c r="E9" s="5">
        <f>AVERAGE(B2:B20)</f>
        <v/>
      </c>
    </row>
    <row r="10">
      <c r="B10" s="6" t="inlineStr">
        <is>
          <t>AVERAGEA</t>
        </is>
      </c>
      <c r="C10" s="7">
        <f>AVERAGEA(value1, [value2], ...)</f>
        <v/>
      </c>
      <c r="D10" s="6" t="inlineStr">
        <is>
          <t>Includes text and logicals</t>
        </is>
      </c>
      <c r="E10" s="7">
        <f>AVERAGEA(A1:A10)</f>
        <v/>
      </c>
    </row>
    <row r="13">
      <c r="B13" s="2" t="inlineStr">
        <is>
          <t>AUTOSUM FEATURE (Alt + =)</t>
        </is>
      </c>
    </row>
    <row r="15">
      <c r="B15" s="8" t="inlineStr">
        <is>
          <t>Sample Sales Data:</t>
        </is>
      </c>
    </row>
    <row r="16">
      <c r="B16" s="9" t="inlineStr">
        <is>
          <t>Region</t>
        </is>
      </c>
      <c r="C16" s="9" t="inlineStr">
        <is>
          <t>Q1</t>
        </is>
      </c>
      <c r="D16" s="9" t="inlineStr">
        <is>
          <t>Q2</t>
        </is>
      </c>
      <c r="E16" s="9" t="inlineStr">
        <is>
          <t>Q3</t>
        </is>
      </c>
      <c r="F16" s="9" t="inlineStr">
        <is>
          <t>Q4</t>
        </is>
      </c>
      <c r="G16" s="9" t="inlineStr">
        <is>
          <t>Total</t>
        </is>
      </c>
    </row>
    <row r="17">
      <c r="B17" s="4" t="inlineStr">
        <is>
          <t>North</t>
        </is>
      </c>
      <c r="C17" s="10" t="n">
        <v>25000</v>
      </c>
      <c r="D17" s="10" t="n">
        <v>28000</v>
      </c>
      <c r="E17" s="10" t="n">
        <v>32000</v>
      </c>
      <c r="F17" s="10" t="n">
        <v>35000</v>
      </c>
      <c r="G17" s="10">
        <f>SUM(C17:F17)</f>
        <v/>
      </c>
    </row>
    <row r="18">
      <c r="B18" s="4" t="inlineStr">
        <is>
          <t>South</t>
        </is>
      </c>
      <c r="C18" s="10" t="n">
        <v>18000</v>
      </c>
      <c r="D18" s="10" t="n">
        <v>22000</v>
      </c>
      <c r="E18" s="10" t="n">
        <v>24000</v>
      </c>
      <c r="F18" s="10" t="n">
        <v>28000</v>
      </c>
      <c r="G18" s="10">
        <f>SUM(C18:F18)</f>
        <v/>
      </c>
    </row>
    <row r="19">
      <c r="B19" s="4" t="inlineStr">
        <is>
          <t>East</t>
        </is>
      </c>
      <c r="C19" s="10" t="n">
        <v>30000</v>
      </c>
      <c r="D19" s="10" t="n">
        <v>32000</v>
      </c>
      <c r="E19" s="10" t="n">
        <v>35000</v>
      </c>
      <c r="F19" s="10" t="n">
        <v>38000</v>
      </c>
      <c r="G19" s="10">
        <f>SUM(C19:F19)</f>
        <v/>
      </c>
    </row>
    <row r="20">
      <c r="B20" s="4" t="inlineStr">
        <is>
          <t>West</t>
        </is>
      </c>
      <c r="C20" s="10" t="n">
        <v>22000</v>
      </c>
      <c r="D20" s="10" t="n">
        <v>25000</v>
      </c>
      <c r="E20" s="10" t="n">
        <v>27000</v>
      </c>
      <c r="F20" s="10" t="n">
        <v>31000</v>
      </c>
      <c r="G20" s="10">
        <f>SUM(C20:F20)</f>
        <v/>
      </c>
    </row>
    <row r="21">
      <c r="B21" s="11" t="inlineStr">
        <is>
          <t>TOTAL</t>
        </is>
      </c>
      <c r="C21" s="12">
        <f>SUM(C17:C20)</f>
        <v/>
      </c>
      <c r="D21" s="12">
        <f>SUM(D17:D20)</f>
        <v/>
      </c>
      <c r="E21" s="12">
        <f>SUM(E17:E20)</f>
        <v/>
      </c>
      <c r="F21" s="12">
        <f>SUM(F17:F20)</f>
        <v/>
      </c>
      <c r="G21" s="12">
        <f>SUM(G17:G20)</f>
        <v/>
      </c>
    </row>
    <row r="25">
      <c r="B25" s="2" t="inlineStr">
        <is>
          <t>AVERAGE WITH BLANK CELLS</t>
        </is>
      </c>
    </row>
    <row r="27">
      <c r="B27" s="3" t="inlineStr">
        <is>
          <t>Employee</t>
        </is>
      </c>
      <c r="C27" s="3" t="inlineStr">
        <is>
          <t>Jan</t>
        </is>
      </c>
      <c r="D27" s="3" t="inlineStr">
        <is>
          <t>Feb</t>
        </is>
      </c>
      <c r="E27" s="3" t="inlineStr">
        <is>
          <t>Mar</t>
        </is>
      </c>
      <c r="F27" s="3" t="inlineStr">
        <is>
          <t>Apr</t>
        </is>
      </c>
      <c r="G27" s="3" t="inlineStr">
        <is>
          <t>May</t>
        </is>
      </c>
      <c r="H27" s="3" t="inlineStr">
        <is>
          <t>Average</t>
        </is>
      </c>
    </row>
    <row r="28">
      <c r="B28" s="4" t="inlineStr">
        <is>
          <t>John</t>
        </is>
      </c>
      <c r="C28" s="4" t="n">
        <v>85</v>
      </c>
      <c r="D28" s="4" t="n">
        <v>90</v>
      </c>
      <c r="E28" s="4" t="inlineStr"/>
      <c r="F28" s="4" t="n">
        <v>88</v>
      </c>
      <c r="G28" s="4" t="n">
        <v>92</v>
      </c>
      <c r="H28" s="13">
        <f>AVERAGE(C28:G28)</f>
        <v/>
      </c>
    </row>
    <row r="29">
      <c r="B29" s="4" t="inlineStr">
        <is>
          <t>Sarah</t>
        </is>
      </c>
      <c r="C29" s="4" t="n">
        <v>78</v>
      </c>
      <c r="D29" s="4" t="n">
        <v>82</v>
      </c>
      <c r="E29" s="4" t="n">
        <v>85</v>
      </c>
      <c r="F29" s="4" t="inlineStr"/>
      <c r="G29" s="4" t="n">
        <v>88</v>
      </c>
      <c r="H29" s="13">
        <f>AVERAGE(C29:G29)</f>
        <v/>
      </c>
    </row>
    <row r="30">
      <c r="B30" s="4" t="inlineStr">
        <is>
          <t>Mike</t>
        </is>
      </c>
      <c r="C30" s="4" t="n">
        <v>92</v>
      </c>
      <c r="D30" s="4" t="inlineStr"/>
      <c r="E30" s="4" t="n">
        <v>88</v>
      </c>
      <c r="F30" s="4" t="n">
        <v>90</v>
      </c>
      <c r="G30" s="4" t="n">
        <v>85</v>
      </c>
      <c r="H30" s="13">
        <f>AVERAGE(C30:G30)</f>
        <v/>
      </c>
    </row>
    <row r="33">
      <c r="B33" s="14" t="inlineStr">
        <is>
          <t>Note: AVERAGE ignores blank cells but includes zeros</t>
        </is>
      </c>
    </row>
  </sheetData>
  <mergeCells count="1"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2" ht="30" customHeight="1">
      <c r="B2" s="1" t="inlineStr">
        <is>
          <t>SUM &amp; AVERAGE - PRACTICE EXERCISES</t>
        </is>
      </c>
    </row>
    <row r="4">
      <c r="B4" s="2" t="inlineStr">
        <is>
          <t>EXERCISE 1: CALCULATE MONTHLY TOTALS AND AVERAGES BY REGION</t>
        </is>
      </c>
    </row>
    <row r="6">
      <c r="B6" s="9" t="inlineStr">
        <is>
          <t>Region</t>
        </is>
      </c>
      <c r="C6" s="9" t="inlineStr">
        <is>
          <t>Jan</t>
        </is>
      </c>
      <c r="D6" s="9" t="inlineStr">
        <is>
          <t>Feb</t>
        </is>
      </c>
      <c r="E6" s="9" t="inlineStr">
        <is>
          <t>Mar</t>
        </is>
      </c>
      <c r="F6" s="9" t="inlineStr">
        <is>
          <t>Apr</t>
        </is>
      </c>
      <c r="G6" s="9" t="inlineStr">
        <is>
          <t>May</t>
        </is>
      </c>
      <c r="H6" s="9" t="inlineStr">
        <is>
          <t>Jun</t>
        </is>
      </c>
      <c r="I6" s="9" t="inlineStr">
        <is>
          <t>Total</t>
        </is>
      </c>
      <c r="J6" s="9" t="inlineStr">
        <is>
          <t>Average</t>
        </is>
      </c>
    </row>
    <row r="7">
      <c r="B7" s="4" t="inlineStr">
        <is>
          <t>Northeast</t>
        </is>
      </c>
      <c r="C7" s="10" t="n">
        <v>45000</v>
      </c>
      <c r="D7" s="10" t="n">
        <v>47000</v>
      </c>
      <c r="E7" s="10" t="n">
        <v>52000</v>
      </c>
      <c r="F7" s="10" t="n">
        <v>49000</v>
      </c>
      <c r="G7" s="10" t="n">
        <v>55000</v>
      </c>
      <c r="H7" s="10" t="n">
        <v>58000</v>
      </c>
      <c r="I7" s="15" t="inlineStr"/>
      <c r="J7" s="15" t="inlineStr"/>
    </row>
    <row r="8">
      <c r="B8" s="4" t="inlineStr">
        <is>
          <t>Southeast</t>
        </is>
      </c>
      <c r="C8" s="10" t="n">
        <v>38000</v>
      </c>
      <c r="D8" s="10" t="n">
        <v>41000</v>
      </c>
      <c r="E8" s="10" t="n">
        <v>43000</v>
      </c>
      <c r="F8" s="10" t="n">
        <v>45000</v>
      </c>
      <c r="G8" s="10" t="n">
        <v>47000</v>
      </c>
      <c r="H8" s="10" t="n">
        <v>50000</v>
      </c>
      <c r="I8" s="15" t="inlineStr"/>
      <c r="J8" s="15" t="inlineStr"/>
    </row>
    <row r="9">
      <c r="B9" s="4" t="inlineStr">
        <is>
          <t>Midwest</t>
        </is>
      </c>
      <c r="C9" s="10" t="n">
        <v>42000</v>
      </c>
      <c r="D9" s="10" t="n">
        <v>44000</v>
      </c>
      <c r="E9" s="10" t="n">
        <v>46000</v>
      </c>
      <c r="F9" s="10" t="n">
        <v>48000</v>
      </c>
      <c r="G9" s="10" t="n">
        <v>50000</v>
      </c>
      <c r="H9" s="10" t="n">
        <v>52000</v>
      </c>
      <c r="I9" s="15" t="inlineStr"/>
      <c r="J9" s="15" t="inlineStr"/>
    </row>
    <row r="10">
      <c r="B10" s="4" t="inlineStr">
        <is>
          <t>Southwest</t>
        </is>
      </c>
      <c r="C10" s="10" t="n">
        <v>35000</v>
      </c>
      <c r="D10" s="10" t="n">
        <v>37000</v>
      </c>
      <c r="E10" s="10" t="n">
        <v>39000</v>
      </c>
      <c r="F10" s="10" t="n">
        <v>41000</v>
      </c>
      <c r="G10" s="10" t="n">
        <v>43000</v>
      </c>
      <c r="H10" s="10" t="n">
        <v>45000</v>
      </c>
      <c r="I10" s="15" t="inlineStr"/>
      <c r="J10" s="15" t="inlineStr"/>
    </row>
    <row r="11">
      <c r="B11" s="4" t="inlineStr">
        <is>
          <t>West</t>
        </is>
      </c>
      <c r="C11" s="10" t="n">
        <v>50000</v>
      </c>
      <c r="D11" s="10" t="n">
        <v>53000</v>
      </c>
      <c r="E11" s="10" t="n">
        <v>56000</v>
      </c>
      <c r="F11" s="10" t="n">
        <v>59000</v>
      </c>
      <c r="G11" s="10" t="n">
        <v>62000</v>
      </c>
      <c r="H11" s="10" t="n">
        <v>65000</v>
      </c>
      <c r="I11" s="15" t="inlineStr"/>
      <c r="J11" s="15" t="inlineStr"/>
    </row>
    <row r="12">
      <c r="B12" s="11" t="inlineStr">
        <is>
          <t>TOTAL</t>
        </is>
      </c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</row>
    <row r="15">
      <c r="B15" s="16" t="inlineStr">
        <is>
          <t>Instructions:</t>
        </is>
      </c>
    </row>
    <row r="16">
      <c r="B16" s="17" t="inlineStr">
        <is>
          <t>1. Calculate Total (column I) using SUM function for each region</t>
        </is>
      </c>
    </row>
    <row r="17">
      <c r="B17" s="17" t="inlineStr">
        <is>
          <t>2. Calculate Average (column J) using AVERAGE function</t>
        </is>
      </c>
    </row>
    <row r="18">
      <c r="B18" s="17" t="inlineStr">
        <is>
          <t>3. Calculate TOTAL row using SUM for each month and grand total</t>
        </is>
      </c>
    </row>
  </sheetData>
  <mergeCells count="1"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12" customWidth="1" min="5" max="5"/>
    <col width="14" customWidth="1" min="6" max="6"/>
  </cols>
  <sheetData>
    <row r="2" ht="30" customHeight="1">
      <c r="B2" s="1" t="inlineStr">
        <is>
          <t>COUNT FUNCTIONS - DEMO</t>
        </is>
      </c>
    </row>
    <row r="4">
      <c r="B4" s="2" t="inlineStr">
        <is>
          <t>COUNT FUNCTION FAMILY</t>
        </is>
      </c>
    </row>
    <row r="6">
      <c r="B6" s="3" t="inlineStr">
        <is>
          <t>Function</t>
        </is>
      </c>
      <c r="C6" s="3" t="inlineStr">
        <is>
          <t>Counts</t>
        </is>
      </c>
      <c r="D6" s="3" t="inlineStr">
        <is>
          <t>Ignores</t>
        </is>
      </c>
      <c r="E6" s="3" t="inlineStr">
        <is>
          <t>Example Result</t>
        </is>
      </c>
    </row>
    <row r="7">
      <c r="B7" s="4" t="inlineStr">
        <is>
          <t>COUNT</t>
        </is>
      </c>
      <c r="C7" s="4" t="inlineStr">
        <is>
          <t>Numbers only</t>
        </is>
      </c>
      <c r="D7" s="4" t="inlineStr">
        <is>
          <t>Text, blanks, errors</t>
        </is>
      </c>
      <c r="E7" s="5">
        <f>COUNT(A1:A10) → 5</f>
        <v/>
      </c>
    </row>
    <row r="8">
      <c r="B8" s="6" t="inlineStr">
        <is>
          <t>COUNTA</t>
        </is>
      </c>
      <c r="C8" s="6" t="inlineStr">
        <is>
          <t>Any non-empty cell</t>
        </is>
      </c>
      <c r="D8" s="6" t="inlineStr">
        <is>
          <t>Only blanks</t>
        </is>
      </c>
      <c r="E8" s="7">
        <f>COUNTA(A1:A10) → 8</f>
        <v/>
      </c>
    </row>
    <row r="9">
      <c r="B9" s="4" t="inlineStr">
        <is>
          <t>COUNTBLANK</t>
        </is>
      </c>
      <c r="C9" s="4" t="inlineStr">
        <is>
          <t>Empty cells only</t>
        </is>
      </c>
      <c r="D9" s="4" t="inlineStr">
        <is>
          <t>All non-blank</t>
        </is>
      </c>
      <c r="E9" s="5">
        <f>COUNTBLANK(A1:A10) → 2</f>
        <v/>
      </c>
    </row>
    <row r="10">
      <c r="B10" s="6" t="inlineStr">
        <is>
          <t>COUNTIF</t>
        </is>
      </c>
      <c r="C10" s="6" t="inlineStr">
        <is>
          <t>Cells meeting criteria</t>
        </is>
      </c>
      <c r="D10" s="6" t="inlineStr">
        <is>
          <t>Non-matching cells</t>
        </is>
      </c>
      <c r="E10" s="7">
        <f>COUNTIF(A1:A10,"&gt;50") → 3</f>
        <v/>
      </c>
    </row>
    <row r="11">
      <c r="B11" s="4" t="inlineStr">
        <is>
          <t>COUNTIFS</t>
        </is>
      </c>
      <c r="C11" s="4" t="inlineStr">
        <is>
          <t>Cells meeting multiple criteria</t>
        </is>
      </c>
      <c r="D11" s="4" t="inlineStr">
        <is>
          <t>Non-matching cells</t>
        </is>
      </c>
      <c r="E11" s="5">
        <f>COUNTIFS(A1:A10,"&gt;50",B1:B10,"Yes") → 2</f>
        <v/>
      </c>
    </row>
    <row r="15">
      <c r="B15" s="2" t="inlineStr">
        <is>
          <t>PRACTICAL EXAMPLE: EMPLOYEE DATABASE ANALYSIS</t>
        </is>
      </c>
    </row>
    <row r="17">
      <c r="B17" s="3" t="inlineStr">
        <is>
          <t>Name</t>
        </is>
      </c>
      <c r="C17" s="3" t="inlineStr">
        <is>
          <t>Department</t>
        </is>
      </c>
      <c r="D17" s="3" t="inlineStr">
        <is>
          <t>Status</t>
        </is>
      </c>
      <c r="E17" s="3" t="inlineStr">
        <is>
          <t>Salary</t>
        </is>
      </c>
      <c r="F17" s="3" t="inlineStr">
        <is>
          <t>Start Date</t>
        </is>
      </c>
    </row>
    <row r="18">
      <c r="B18" s="4" t="inlineStr">
        <is>
          <t>John Smith</t>
        </is>
      </c>
      <c r="C18" s="4" t="inlineStr">
        <is>
          <t>Sales</t>
        </is>
      </c>
      <c r="D18" s="4" t="inlineStr">
        <is>
          <t>Active</t>
        </is>
      </c>
      <c r="E18" s="10" t="n">
        <v>65000</v>
      </c>
      <c r="F18" s="4" t="inlineStr">
        <is>
          <t>2020-03-15</t>
        </is>
      </c>
    </row>
    <row r="19">
      <c r="B19" s="4" t="inlineStr">
        <is>
          <t>Sarah Jones</t>
        </is>
      </c>
      <c r="C19" s="4" t="inlineStr">
        <is>
          <t>Marketing</t>
        </is>
      </c>
      <c r="D19" s="4" t="inlineStr">
        <is>
          <t>Active</t>
        </is>
      </c>
      <c r="E19" s="10" t="n">
        <v>58000</v>
      </c>
      <c r="F19" s="4" t="inlineStr">
        <is>
          <t>2019-07-22</t>
        </is>
      </c>
    </row>
    <row r="20">
      <c r="B20" s="4" t="inlineStr">
        <is>
          <t>Mike Brown</t>
        </is>
      </c>
      <c r="C20" s="4" t="inlineStr">
        <is>
          <t>IT</t>
        </is>
      </c>
      <c r="D20" s="4" t="inlineStr">
        <is>
          <t>Inactive</t>
        </is>
      </c>
      <c r="E20" s="10" t="n">
        <v>72000</v>
      </c>
      <c r="F20" s="4" t="inlineStr">
        <is>
          <t>2018-11-08</t>
        </is>
      </c>
    </row>
    <row r="21">
      <c r="B21" s="4" t="inlineStr">
        <is>
          <t>Lisa Davis</t>
        </is>
      </c>
      <c r="C21" s="4" t="inlineStr">
        <is>
          <t>Sales</t>
        </is>
      </c>
      <c r="D21" s="4" t="inlineStr">
        <is>
          <t>Active</t>
        </is>
      </c>
      <c r="E21" s="10" t="n">
        <v>61000</v>
      </c>
      <c r="F21" s="4" t="inlineStr">
        <is>
          <t>2021-01-10</t>
        </is>
      </c>
    </row>
    <row r="22">
      <c r="B22" s="4" t="inlineStr">
        <is>
          <t>Tom Wilson</t>
        </is>
      </c>
      <c r="C22" s="4" t="inlineStr">
        <is>
          <t>HR</t>
        </is>
      </c>
      <c r="D22" s="4" t="inlineStr">
        <is>
          <t>Active</t>
        </is>
      </c>
      <c r="E22" s="10" t="n">
        <v>55000</v>
      </c>
      <c r="F22" s="4" t="inlineStr">
        <is>
          <t>2020-09-05</t>
        </is>
      </c>
    </row>
    <row r="23">
      <c r="B23" s="4" t="inlineStr">
        <is>
          <t>Emma Lee</t>
        </is>
      </c>
      <c r="C23" s="4" t="inlineStr">
        <is>
          <t>IT</t>
        </is>
      </c>
      <c r="D23" s="4" t="inlineStr">
        <is>
          <t>Active</t>
        </is>
      </c>
      <c r="E23" s="10" t="n">
        <v>75000</v>
      </c>
      <c r="F23" s="4" t="inlineStr">
        <is>
          <t>2019-04-18</t>
        </is>
      </c>
    </row>
    <row r="24">
      <c r="B24" s="4" t="inlineStr">
        <is>
          <t>David Chen</t>
        </is>
      </c>
      <c r="C24" s="4" t="inlineStr">
        <is>
          <t>Marketing</t>
        </is>
      </c>
      <c r="D24" s="4" t="inlineStr">
        <is>
          <t>Inactive</t>
        </is>
      </c>
      <c r="E24" s="10" t="n">
        <v>60000</v>
      </c>
      <c r="F24" s="4" t="inlineStr">
        <is>
          <t>2020-06-30</t>
        </is>
      </c>
    </row>
    <row r="25">
      <c r="B25" s="4" t="inlineStr">
        <is>
          <t>Amy White</t>
        </is>
      </c>
      <c r="C25" s="4" t="inlineStr">
        <is>
          <t>Sales</t>
        </is>
      </c>
      <c r="D25" s="4" t="inlineStr">
        <is>
          <t>Active</t>
        </is>
      </c>
      <c r="E25" s="10" t="n">
        <v>63000</v>
      </c>
      <c r="F25" s="4" t="inlineStr">
        <is>
          <t>2021-08-12</t>
        </is>
      </c>
    </row>
    <row r="29">
      <c r="B29" s="8" t="inlineStr">
        <is>
          <t>COUNT FORMULAS IN ACTION:</t>
        </is>
      </c>
    </row>
    <row r="31">
      <c r="B31" s="4" t="inlineStr">
        <is>
          <t>Total Employees:</t>
        </is>
      </c>
      <c r="C31" s="5">
        <f>COUNTA(B18:B25)</f>
        <v/>
      </c>
      <c r="D31" s="15">
        <f>COUNTA(B18:B25)</f>
        <v/>
      </c>
    </row>
    <row r="32">
      <c r="B32" s="4" t="inlineStr">
        <is>
          <t>Active Employees:</t>
        </is>
      </c>
      <c r="C32" s="5">
        <f>COUNTIF(D18:D25,"Active")</f>
        <v/>
      </c>
      <c r="D32" s="15">
        <f>COUNTIF(D18:D25,"Active")</f>
        <v/>
      </c>
    </row>
    <row r="33">
      <c r="B33" s="4" t="inlineStr">
        <is>
          <t>Sales Department:</t>
        </is>
      </c>
      <c r="C33" s="5">
        <f>COUNTIF(C18:C25,"Sales")</f>
        <v/>
      </c>
      <c r="D33" s="15">
        <f>COUNTIF(C18:C25,"Sales")</f>
        <v/>
      </c>
    </row>
    <row r="34">
      <c r="B34" s="4" t="inlineStr">
        <is>
          <t>Active Sales Staff:</t>
        </is>
      </c>
      <c r="C34" s="5">
        <f>COUNTIFS(C18:C25,"Sales",D18:D25,"Active")</f>
        <v/>
      </c>
      <c r="D34" s="15">
        <f>COUNTIFS(C18:C25,"Sales",D18:D25,"Active")</f>
        <v/>
      </c>
    </row>
  </sheetData>
  <mergeCells count="1"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8" customWidth="1" min="3" max="3"/>
    <col width="15" customWidth="1" min="4" max="4"/>
    <col width="12" customWidth="1" min="5" max="5"/>
    <col width="16" customWidth="1" min="6" max="6"/>
    <col width="18" customWidth="1" min="7" max="7"/>
    <col width="18" customWidth="1" min="8" max="8"/>
  </cols>
  <sheetData>
    <row r="2" ht="30" customHeight="1">
      <c r="B2" s="1" t="inlineStr">
        <is>
          <t>COUNT FUNCTIONS - PRACTICE EXERCISES</t>
        </is>
      </c>
    </row>
    <row r="4">
      <c r="B4" s="2" t="inlineStr">
        <is>
          <t>EXERCISE: ANALYZE EMPLOYEE DATABASE</t>
        </is>
      </c>
    </row>
    <row r="6">
      <c r="B6" s="3" t="inlineStr">
        <is>
          <t>Employee ID</t>
        </is>
      </c>
      <c r="C6" s="3" t="inlineStr">
        <is>
          <t>Name</t>
        </is>
      </c>
      <c r="D6" s="3" t="inlineStr">
        <is>
          <t>Department</t>
        </is>
      </c>
      <c r="E6" s="3" t="inlineStr">
        <is>
          <t>Status</t>
        </is>
      </c>
      <c r="F6" s="3" t="inlineStr">
        <is>
          <t>Years of Service</t>
        </is>
      </c>
      <c r="G6" s="3" t="inlineStr">
        <is>
          <t>Performance Rating</t>
        </is>
      </c>
    </row>
    <row r="7">
      <c r="B7" s="4" t="inlineStr">
        <is>
          <t>E001</t>
        </is>
      </c>
      <c r="C7" s="4" t="inlineStr">
        <is>
          <t>Alice Johnson</t>
        </is>
      </c>
      <c r="D7" s="4" t="inlineStr">
        <is>
          <t>Engineering</t>
        </is>
      </c>
      <c r="E7" s="4" t="inlineStr">
        <is>
          <t>Active</t>
        </is>
      </c>
      <c r="F7" s="4" t="n">
        <v>5</v>
      </c>
      <c r="G7" s="4" t="inlineStr">
        <is>
          <t>Excellent</t>
        </is>
      </c>
    </row>
    <row r="8">
      <c r="B8" s="4" t="inlineStr">
        <is>
          <t>E002</t>
        </is>
      </c>
      <c r="C8" s="4" t="inlineStr">
        <is>
          <t>Bob Smith</t>
        </is>
      </c>
      <c r="D8" s="4" t="inlineStr">
        <is>
          <t>Sales</t>
        </is>
      </c>
      <c r="E8" s="4" t="inlineStr">
        <is>
          <t>Active</t>
        </is>
      </c>
      <c r="F8" s="4" t="n">
        <v>3</v>
      </c>
      <c r="G8" s="4" t="inlineStr">
        <is>
          <t>Good</t>
        </is>
      </c>
    </row>
    <row r="9">
      <c r="B9" s="4" t="inlineStr">
        <is>
          <t>E003</t>
        </is>
      </c>
      <c r="C9" s="4" t="inlineStr">
        <is>
          <t>Carol White</t>
        </is>
      </c>
      <c r="D9" s="4" t="inlineStr">
        <is>
          <t>Marketing</t>
        </is>
      </c>
      <c r="E9" s="4" t="inlineStr">
        <is>
          <t>Inactive</t>
        </is>
      </c>
      <c r="F9" s="4" t="n">
        <v>7</v>
      </c>
      <c r="G9" s="4" t="inlineStr">
        <is>
          <t>Average</t>
        </is>
      </c>
    </row>
    <row r="10">
      <c r="B10" s="4" t="inlineStr">
        <is>
          <t>E004</t>
        </is>
      </c>
      <c r="C10" s="4" t="inlineStr">
        <is>
          <t>David Lee</t>
        </is>
      </c>
      <c r="D10" s="4" t="inlineStr">
        <is>
          <t>Engineering</t>
        </is>
      </c>
      <c r="E10" s="4" t="inlineStr">
        <is>
          <t>Active</t>
        </is>
      </c>
      <c r="F10" s="4" t="n">
        <v>2</v>
      </c>
      <c r="G10" s="4" t="inlineStr">
        <is>
          <t>Good</t>
        </is>
      </c>
    </row>
    <row r="11">
      <c r="B11" s="4" t="inlineStr">
        <is>
          <t>E005</t>
        </is>
      </c>
      <c r="C11" s="4" t="inlineStr">
        <is>
          <t>Emma Brown</t>
        </is>
      </c>
      <c r="D11" s="4" t="inlineStr">
        <is>
          <t>HR</t>
        </is>
      </c>
      <c r="E11" s="4" t="inlineStr">
        <is>
          <t>Active</t>
        </is>
      </c>
      <c r="F11" s="4" t="n">
        <v>4</v>
      </c>
      <c r="G11" s="4" t="inlineStr">
        <is>
          <t>Excellent</t>
        </is>
      </c>
    </row>
    <row r="12">
      <c r="B12" s="4" t="inlineStr">
        <is>
          <t>E006</t>
        </is>
      </c>
      <c r="C12" s="4" t="inlineStr">
        <is>
          <t>Frank Miller</t>
        </is>
      </c>
      <c r="D12" s="4" t="inlineStr">
        <is>
          <t>Sales</t>
        </is>
      </c>
      <c r="E12" s="4" t="inlineStr">
        <is>
          <t>Active</t>
        </is>
      </c>
      <c r="F12" s="4" t="n">
        <v>6</v>
      </c>
      <c r="G12" s="4" t="inlineStr">
        <is>
          <t>Good</t>
        </is>
      </c>
    </row>
    <row r="13">
      <c r="B13" s="4" t="inlineStr">
        <is>
          <t>E007</t>
        </is>
      </c>
      <c r="C13" s="4" t="inlineStr">
        <is>
          <t>Grace Taylor</t>
        </is>
      </c>
      <c r="D13" s="4" t="inlineStr">
        <is>
          <t>IT</t>
        </is>
      </c>
      <c r="E13" s="4" t="inlineStr">
        <is>
          <t>Active</t>
        </is>
      </c>
      <c r="F13" s="4" t="n">
        <v>8</v>
      </c>
      <c r="G13" s="4" t="inlineStr">
        <is>
          <t>Excellent</t>
        </is>
      </c>
    </row>
    <row r="14">
      <c r="B14" s="4" t="inlineStr">
        <is>
          <t>E008</t>
        </is>
      </c>
      <c r="C14" s="4" t="inlineStr">
        <is>
          <t>Henry Clark</t>
        </is>
      </c>
      <c r="D14" s="4" t="inlineStr">
        <is>
          <t>Marketing</t>
        </is>
      </c>
      <c r="E14" s="4" t="inlineStr">
        <is>
          <t>Inactive</t>
        </is>
      </c>
      <c r="F14" s="4" t="n">
        <v>1</v>
      </c>
      <c r="G14" s="4" t="inlineStr">
        <is>
          <t>Average</t>
        </is>
      </c>
    </row>
    <row r="15">
      <c r="B15" s="4" t="inlineStr">
        <is>
          <t>E009</t>
        </is>
      </c>
      <c r="C15" s="4" t="inlineStr">
        <is>
          <t>Iris Wong</t>
        </is>
      </c>
      <c r="D15" s="4" t="inlineStr">
        <is>
          <t>Engineering</t>
        </is>
      </c>
      <c r="E15" s="4" t="inlineStr">
        <is>
          <t>Active</t>
        </is>
      </c>
      <c r="F15" s="4" t="n">
        <v>3</v>
      </c>
      <c r="G15" s="4" t="inlineStr">
        <is>
          <t>Good</t>
        </is>
      </c>
    </row>
    <row r="16">
      <c r="B16" s="4" t="inlineStr">
        <is>
          <t>E010</t>
        </is>
      </c>
      <c r="C16" s="4" t="inlineStr">
        <is>
          <t>Jack Davis</t>
        </is>
      </c>
      <c r="D16" s="4" t="inlineStr">
        <is>
          <t>Sales</t>
        </is>
      </c>
      <c r="E16" s="4" t="inlineStr">
        <is>
          <t>Active</t>
        </is>
      </c>
      <c r="F16" s="4" t="n">
        <v>5</v>
      </c>
      <c r="G16" s="4" t="inlineStr">
        <is>
          <t>Excellent</t>
        </is>
      </c>
    </row>
    <row r="20">
      <c r="B20" s="18" t="inlineStr">
        <is>
          <t>ANSWER THESE QUESTIONS USING COUNT FUNCTIONS:</t>
        </is>
      </c>
    </row>
    <row r="22">
      <c r="B22" s="19" t="inlineStr">
        <is>
          <t>1. Total number of employees:</t>
        </is>
      </c>
      <c r="F22" s="20" t="inlineStr">
        <is>
          <t>Your Formula:</t>
        </is>
      </c>
      <c r="G22" s="21" t="inlineStr"/>
    </row>
    <row r="23">
      <c r="B23" s="19" t="inlineStr">
        <is>
          <t>2. Number of Active employees:</t>
        </is>
      </c>
      <c r="F23" s="20" t="inlineStr">
        <is>
          <t>Your Formula:</t>
        </is>
      </c>
      <c r="G23" s="21" t="inlineStr"/>
    </row>
    <row r="24">
      <c r="B24" s="19" t="inlineStr">
        <is>
          <t>3. Number of employees in Engineering:</t>
        </is>
      </c>
      <c r="F24" s="20" t="inlineStr">
        <is>
          <t>Your Formula:</t>
        </is>
      </c>
      <c r="G24" s="21" t="inlineStr"/>
    </row>
    <row r="25">
      <c r="B25" s="19" t="inlineStr">
        <is>
          <t>4. Number of employees with 'Excellent' rating:</t>
        </is>
      </c>
      <c r="F25" s="20" t="inlineStr">
        <is>
          <t>Your Formula:</t>
        </is>
      </c>
      <c r="G25" s="21" t="inlineStr"/>
    </row>
    <row r="26">
      <c r="B26" s="19" t="inlineStr">
        <is>
          <t>5. Number of Active employees in Sales:</t>
        </is>
      </c>
      <c r="F26" s="20" t="inlineStr">
        <is>
          <t>Your Formula:</t>
        </is>
      </c>
      <c r="G26" s="21" t="inlineStr"/>
    </row>
    <row r="27">
      <c r="B27" s="19" t="inlineStr">
        <is>
          <t>6. Number of employees with 5+ years of service:</t>
        </is>
      </c>
      <c r="F27" s="20" t="inlineStr">
        <is>
          <t>Your Formula:</t>
        </is>
      </c>
      <c r="G27" s="21" t="inlineStr"/>
    </row>
    <row r="28">
      <c r="B28" s="19" t="inlineStr">
        <is>
          <t>7. Number of Inactive employees in Marketing:</t>
        </is>
      </c>
      <c r="F28" s="20" t="inlineStr">
        <is>
          <t>Your Formula:</t>
        </is>
      </c>
      <c r="G28" s="21" t="inlineStr"/>
    </row>
  </sheetData>
  <mergeCells count="1"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2" customWidth="1" min="4" max="4"/>
    <col width="14" customWidth="1" min="5" max="5"/>
    <col width="16" customWidth="1" min="6" max="6"/>
    <col width="14" customWidth="1" min="7" max="7"/>
    <col width="16" customWidth="1" min="8" max="8"/>
  </cols>
  <sheetData>
    <row r="2" ht="30" customHeight="1">
      <c r="B2" s="1" t="inlineStr">
        <is>
          <t>MATH &amp; ROUNDING FUNCTIONS - DEMO</t>
        </is>
      </c>
    </row>
    <row r="4">
      <c r="B4" s="2" t="inlineStr">
        <is>
          <t>1. MATHEMATICAL FUNCTIONS</t>
        </is>
      </c>
    </row>
    <row r="6">
      <c r="B6" s="3" t="inlineStr">
        <is>
          <t>Function</t>
        </is>
      </c>
      <c r="C6" s="3" t="inlineStr">
        <is>
          <t>Syntax</t>
        </is>
      </c>
      <c r="D6" s="3" t="inlineStr">
        <is>
          <t>Description</t>
        </is>
      </c>
      <c r="E6" s="3" t="inlineStr">
        <is>
          <t>Example</t>
        </is>
      </c>
    </row>
    <row r="7">
      <c r="B7" s="4" t="inlineStr">
        <is>
          <t>MAX</t>
        </is>
      </c>
      <c r="C7" s="5">
        <f>MAX(number1, [number2], ...)</f>
        <v/>
      </c>
      <c r="D7" s="4" t="inlineStr">
        <is>
          <t>Returns largest value</t>
        </is>
      </c>
      <c r="E7" s="5">
        <f>MAX(10, 25, 5) → 25</f>
        <v/>
      </c>
    </row>
    <row r="8">
      <c r="B8" s="6" t="inlineStr">
        <is>
          <t>MIN</t>
        </is>
      </c>
      <c r="C8" s="7">
        <f>MIN(number1, [number2], ...)</f>
        <v/>
      </c>
      <c r="D8" s="6" t="inlineStr">
        <is>
          <t>Returns smallest value</t>
        </is>
      </c>
      <c r="E8" s="7">
        <f>MIN(10, 25, 5) → 5</f>
        <v/>
      </c>
    </row>
    <row r="9">
      <c r="B9" s="4" t="inlineStr">
        <is>
          <t>PRODUCT</t>
        </is>
      </c>
      <c r="C9" s="5">
        <f>PRODUCT(number1, [number2], ...)</f>
        <v/>
      </c>
      <c r="D9" s="4" t="inlineStr">
        <is>
          <t>Multiplies all numbers</t>
        </is>
      </c>
      <c r="E9" s="5">
        <f>PRODUCT(2, 3, 4) → 24</f>
        <v/>
      </c>
    </row>
    <row r="10">
      <c r="B10" s="6" t="inlineStr">
        <is>
          <t>POWER</t>
        </is>
      </c>
      <c r="C10" s="7">
        <f>POWER(number, power)</f>
        <v/>
      </c>
      <c r="D10" s="6" t="inlineStr">
        <is>
          <t>Raises number to power</t>
        </is>
      </c>
      <c r="E10" s="7">
        <f>POWER(2, 3) → 8</f>
        <v/>
      </c>
    </row>
    <row r="11">
      <c r="B11" s="4" t="inlineStr">
        <is>
          <t>SQRT</t>
        </is>
      </c>
      <c r="C11" s="5">
        <f>SQRT(number)</f>
        <v/>
      </c>
      <c r="D11" s="4" t="inlineStr">
        <is>
          <t>Square root of number</t>
        </is>
      </c>
      <c r="E11" s="5">
        <f>SQRT(16) → 4</f>
        <v/>
      </c>
    </row>
    <row r="12">
      <c r="B12" s="6" t="inlineStr">
        <is>
          <t>ABS</t>
        </is>
      </c>
      <c r="C12" s="7">
        <f>ABS(number)</f>
        <v/>
      </c>
      <c r="D12" s="6" t="inlineStr">
        <is>
          <t>Absolute value</t>
        </is>
      </c>
      <c r="E12" s="7">
        <f>ABS(-15) → 15</f>
        <v/>
      </c>
    </row>
    <row r="13">
      <c r="B13" s="4" t="inlineStr">
        <is>
          <t>MOD</t>
        </is>
      </c>
      <c r="C13" s="5">
        <f>MOD(number, divisor)</f>
        <v/>
      </c>
      <c r="D13" s="4" t="inlineStr">
        <is>
          <t>Remainder after division</t>
        </is>
      </c>
      <c r="E13" s="5">
        <f>MOD(17, 5) → 2</f>
        <v/>
      </c>
    </row>
    <row r="17">
      <c r="B17" s="2" t="inlineStr">
        <is>
          <t>2. ROUNDING FUNCTIONS</t>
        </is>
      </c>
    </row>
    <row r="19">
      <c r="B19" s="3" t="inlineStr">
        <is>
          <t>Function</t>
        </is>
      </c>
      <c r="C19" s="3" t="inlineStr">
        <is>
          <t>Syntax</t>
        </is>
      </c>
      <c r="D19" s="3" t="inlineStr">
        <is>
          <t>Behavior</t>
        </is>
      </c>
      <c r="E19" s="3" t="inlineStr">
        <is>
          <t>Example (3.14159)</t>
        </is>
      </c>
    </row>
    <row r="20">
      <c r="B20" s="6" t="inlineStr">
        <is>
          <t>ROUND</t>
        </is>
      </c>
      <c r="C20" s="7">
        <f>ROUND(number, num_digits)</f>
        <v/>
      </c>
      <c r="D20" s="6" t="inlineStr">
        <is>
          <t>Standard rounding</t>
        </is>
      </c>
      <c r="E20" s="7">
        <f>ROUND(3.14159, 2) → 3.14</f>
        <v/>
      </c>
    </row>
    <row r="21">
      <c r="B21" s="4" t="inlineStr">
        <is>
          <t>ROUNDDOWN</t>
        </is>
      </c>
      <c r="C21" s="5">
        <f>ROUNDDOWN(number, num_digits)</f>
        <v/>
      </c>
      <c r="D21" s="4" t="inlineStr">
        <is>
          <t>Always rounds down</t>
        </is>
      </c>
      <c r="E21" s="5">
        <f>ROUNDDOWN(3.14159, 2) → 3.14</f>
        <v/>
      </c>
    </row>
    <row r="22">
      <c r="B22" s="6" t="inlineStr">
        <is>
          <t>ROUNDUP</t>
        </is>
      </c>
      <c r="C22" s="7">
        <f>ROUNDUP(number, num_digits)</f>
        <v/>
      </c>
      <c r="D22" s="6" t="inlineStr">
        <is>
          <t>Always rounds up</t>
        </is>
      </c>
      <c r="E22" s="7">
        <f>ROUNDUP(3.14159, 2) → 3.15</f>
        <v/>
      </c>
    </row>
    <row r="23">
      <c r="B23" s="4" t="inlineStr">
        <is>
          <t>MROUND</t>
        </is>
      </c>
      <c r="C23" s="5">
        <f>MROUND(number, multiple)</f>
        <v/>
      </c>
      <c r="D23" s="4" t="inlineStr">
        <is>
          <t>Rounds to nearest multiple</t>
        </is>
      </c>
      <c r="E23" s="5">
        <f>MROUND(17, 5) → 15</f>
        <v/>
      </c>
    </row>
    <row r="24">
      <c r="B24" s="6" t="inlineStr">
        <is>
          <t>CEILING</t>
        </is>
      </c>
      <c r="C24" s="7">
        <f>CEILING(number, significance)</f>
        <v/>
      </c>
      <c r="D24" s="6" t="inlineStr">
        <is>
          <t>Rounds up to multiple</t>
        </is>
      </c>
      <c r="E24" s="7">
        <f>CEILING(17, 5) → 20</f>
        <v/>
      </c>
    </row>
    <row r="25">
      <c r="B25" s="4" t="inlineStr">
        <is>
          <t>FLOOR</t>
        </is>
      </c>
      <c r="C25" s="5">
        <f>FLOOR(number, significance)</f>
        <v/>
      </c>
      <c r="D25" s="4" t="inlineStr">
        <is>
          <t>Rounds down to multiple</t>
        </is>
      </c>
      <c r="E25" s="5">
        <f>FLOOR(17, 5) → 15</f>
        <v/>
      </c>
    </row>
    <row r="26">
      <c r="B26" s="6" t="inlineStr">
        <is>
          <t>INT</t>
        </is>
      </c>
      <c r="C26" s="7">
        <f>INT(number)</f>
        <v/>
      </c>
      <c r="D26" s="6" t="inlineStr">
        <is>
          <t>Rounds down to integer</t>
        </is>
      </c>
      <c r="E26" s="7">
        <f>INT(3.9) → 3</f>
        <v/>
      </c>
    </row>
    <row r="27">
      <c r="B27" s="4" t="inlineStr">
        <is>
          <t>TRUNC</t>
        </is>
      </c>
      <c r="C27" s="5">
        <f>TRUNC(number, [num_digits])</f>
        <v/>
      </c>
      <c r="D27" s="4" t="inlineStr">
        <is>
          <t>Truncates decimal</t>
        </is>
      </c>
      <c r="E27" s="5">
        <f>TRUNC(3.9) → 3</f>
        <v/>
      </c>
    </row>
    <row r="31">
      <c r="B31" s="2" t="inlineStr">
        <is>
          <t>3. PRACTICAL EXAMPLE: INVENTORY PRICING</t>
        </is>
      </c>
    </row>
    <row r="33">
      <c r="B33" s="3" t="inlineStr">
        <is>
          <t>Product</t>
        </is>
      </c>
      <c r="C33" s="3" t="inlineStr">
        <is>
          <t>Qty</t>
        </is>
      </c>
      <c r="D33" s="3" t="inlineStr">
        <is>
          <t>Unit Cost</t>
        </is>
      </c>
      <c r="E33" s="3" t="inlineStr">
        <is>
          <t>Raw Total</t>
        </is>
      </c>
      <c r="F33" s="3" t="inlineStr">
        <is>
          <t>Rounded Price</t>
        </is>
      </c>
      <c r="G33" s="3" t="inlineStr">
        <is>
          <t>Package Size</t>
        </is>
      </c>
      <c r="H33" s="3" t="inlineStr">
        <is>
          <t>Packages Needed</t>
        </is>
      </c>
    </row>
    <row r="34">
      <c r="B34" s="4" t="inlineStr">
        <is>
          <t>Widget A</t>
        </is>
      </c>
      <c r="C34" s="4" t="n">
        <v>150</v>
      </c>
      <c r="D34" s="22" t="n">
        <v>12.49</v>
      </c>
      <c r="E34" s="22">
        <f>C34*D34</f>
        <v/>
      </c>
      <c r="F34" s="10">
        <f>ROUNDUP(E34, 0)</f>
        <v/>
      </c>
      <c r="G34" s="4" t="n">
        <v>50</v>
      </c>
      <c r="H34" s="4">
        <f>CEILING(C34, G34)/G34</f>
        <v/>
      </c>
    </row>
    <row r="35">
      <c r="B35" s="4" t="inlineStr">
        <is>
          <t>Widget B</t>
        </is>
      </c>
      <c r="C35" s="4" t="n">
        <v>89</v>
      </c>
      <c r="D35" s="22" t="n">
        <v>24.99</v>
      </c>
      <c r="E35" s="22">
        <f>C35*D35</f>
        <v/>
      </c>
      <c r="F35" s="10">
        <f>ROUNDUP(E35, 0)</f>
        <v/>
      </c>
      <c r="G35" s="4" t="n">
        <v>50</v>
      </c>
      <c r="H35" s="4">
        <f>CEILING(C35, G35)/G35</f>
        <v/>
      </c>
    </row>
    <row r="36">
      <c r="B36" s="4" t="inlineStr">
        <is>
          <t>Widget C</t>
        </is>
      </c>
      <c r="C36" s="4" t="n">
        <v>234</v>
      </c>
      <c r="D36" s="22" t="n">
        <v>8.75</v>
      </c>
      <c r="E36" s="22">
        <f>C36*D36</f>
        <v/>
      </c>
      <c r="F36" s="10">
        <f>ROUNDUP(E36, 0)</f>
        <v/>
      </c>
      <c r="G36" s="4" t="n">
        <v>50</v>
      </c>
      <c r="H36" s="4">
        <f>CEILING(C36, G36)/G36</f>
        <v/>
      </c>
    </row>
    <row r="37">
      <c r="B37" s="4" t="inlineStr">
        <is>
          <t>Widget D</t>
        </is>
      </c>
      <c r="C37" s="4" t="n">
        <v>67</v>
      </c>
      <c r="D37" s="22" t="n">
        <v>45.5</v>
      </c>
      <c r="E37" s="22">
        <f>C37*D37</f>
        <v/>
      </c>
      <c r="F37" s="10">
        <f>ROUNDUP(E37, 0)</f>
        <v/>
      </c>
      <c r="G37" s="4" t="n">
        <v>50</v>
      </c>
      <c r="H37" s="4">
        <f>CEILING(C37, G37)/G37</f>
        <v/>
      </c>
    </row>
  </sheetData>
  <mergeCells count="1"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2" ht="30" customHeight="1">
      <c r="B2" s="1" t="inlineStr">
        <is>
          <t>MATH &amp; ROUNDING - PRACTICE EXERCISES</t>
        </is>
      </c>
    </row>
    <row r="4">
      <c r="B4" s="2" t="inlineStr">
        <is>
          <t>EXERCISE: INVENTORY MANAGEMENT CALCULATIONS</t>
        </is>
      </c>
    </row>
    <row r="6">
      <c r="B6" s="3" t="inlineStr">
        <is>
          <t>Item</t>
        </is>
      </c>
      <c r="C6" s="3" t="inlineStr">
        <is>
          <t>Stock Qty</t>
        </is>
      </c>
      <c r="D6" s="3" t="inlineStr">
        <is>
          <t>Unit Price</t>
        </is>
      </c>
      <c r="E6" s="3" t="inlineStr">
        <is>
          <t>Stock Value</t>
        </is>
      </c>
      <c r="F6" s="3" t="inlineStr">
        <is>
          <t>Min Order Qty</t>
        </is>
      </c>
      <c r="G6" s="3" t="inlineStr">
        <is>
          <t>Order Multiple</t>
        </is>
      </c>
      <c r="H6" s="3" t="inlineStr">
        <is>
          <t>Order Qty Needed</t>
        </is>
      </c>
    </row>
    <row r="7">
      <c r="B7" s="4" t="inlineStr">
        <is>
          <t>Item A</t>
        </is>
      </c>
      <c r="C7" s="4" t="n">
        <v>145</v>
      </c>
      <c r="D7" s="22" t="n">
        <v>15.99</v>
      </c>
      <c r="E7" s="15" t="inlineStr"/>
      <c r="F7" s="4" t="n">
        <v>100</v>
      </c>
      <c r="G7" s="4" t="n">
        <v>50</v>
      </c>
      <c r="H7" s="15" t="inlineStr"/>
    </row>
    <row r="8">
      <c r="B8" s="4" t="inlineStr">
        <is>
          <t>Item B</t>
        </is>
      </c>
      <c r="C8" s="4" t="n">
        <v>78</v>
      </c>
      <c r="D8" s="22" t="n">
        <v>32.5</v>
      </c>
      <c r="E8" s="15" t="inlineStr"/>
      <c r="F8" s="4" t="n">
        <v>150</v>
      </c>
      <c r="G8" s="4" t="n">
        <v>25</v>
      </c>
      <c r="H8" s="15" t="inlineStr"/>
    </row>
    <row r="9">
      <c r="B9" s="4" t="inlineStr">
        <is>
          <t>Item C</t>
        </is>
      </c>
      <c r="C9" s="4" t="n">
        <v>267</v>
      </c>
      <c r="D9" s="22" t="n">
        <v>8.25</v>
      </c>
      <c r="E9" s="15" t="inlineStr"/>
      <c r="F9" s="4" t="n">
        <v>200</v>
      </c>
      <c r="G9" s="4" t="n">
        <v>100</v>
      </c>
      <c r="H9" s="15" t="inlineStr"/>
    </row>
    <row r="10">
      <c r="B10" s="4" t="inlineStr">
        <is>
          <t>Item D</t>
        </is>
      </c>
      <c r="C10" s="4" t="n">
        <v>43</v>
      </c>
      <c r="D10" s="22" t="n">
        <v>55</v>
      </c>
      <c r="E10" s="15" t="inlineStr"/>
      <c r="F10" s="4" t="n">
        <v>75</v>
      </c>
      <c r="G10" s="4" t="n">
        <v>25</v>
      </c>
      <c r="H10" s="15" t="inlineStr"/>
    </row>
    <row r="11">
      <c r="B11" s="4" t="inlineStr">
        <is>
          <t>Item E</t>
        </is>
      </c>
      <c r="C11" s="4" t="n">
        <v>189</v>
      </c>
      <c r="D11" s="22" t="n">
        <v>12.75</v>
      </c>
      <c r="E11" s="15" t="inlineStr"/>
      <c r="F11" s="4" t="n">
        <v>120</v>
      </c>
      <c r="G11" s="4" t="n">
        <v>50</v>
      </c>
      <c r="H11" s="15" t="inlineStr"/>
    </row>
    <row r="14">
      <c r="B14" s="16" t="inlineStr">
        <is>
          <t>Instructions:</t>
        </is>
      </c>
    </row>
    <row r="15">
      <c r="B15" s="17" t="inlineStr">
        <is>
          <t>1. Calculate Stock Value (column E) = Stock Qty × Unit Price</t>
        </is>
      </c>
    </row>
    <row r="16">
      <c r="B16" s="17" t="inlineStr">
        <is>
          <t>2. Calculate Order Qty Needed (column H) using CEILING function</t>
        </is>
      </c>
    </row>
    <row r="17">
      <c r="B17" s="17" t="inlineStr">
        <is>
          <t xml:space="preserve">   Formula: =CEILING(Min Order Qty - Stock Qty, Order Multiple)</t>
        </is>
      </c>
    </row>
    <row r="18">
      <c r="B18" s="17" t="inlineStr">
        <is>
          <t>3. Add a summary row with MAX stock value and MIN stock value</t>
        </is>
      </c>
    </row>
    <row r="21">
      <c r="B21" s="2" t="inlineStr">
        <is>
          <t>BONUS EXERCISE: PRICE ROUNDING</t>
        </is>
      </c>
    </row>
    <row r="23">
      <c r="B23" s="23" t="inlineStr">
        <is>
          <t>Round these calculated prices to the nearest $0.99 psychological price point:</t>
        </is>
      </c>
    </row>
    <row r="24">
      <c r="B24" s="3" t="inlineStr">
        <is>
          <t>Product</t>
        </is>
      </c>
      <c r="C24" s="3" t="inlineStr">
        <is>
          <t>Calculated Price</t>
        </is>
      </c>
      <c r="D24" s="3" t="inlineStr">
        <is>
          <t>Rounded to $0.99</t>
        </is>
      </c>
    </row>
    <row r="25">
      <c r="B25" s="4" t="inlineStr">
        <is>
          <t>Product X</t>
        </is>
      </c>
      <c r="C25" s="22" t="n">
        <v>24.37</v>
      </c>
      <c r="D25" s="15" t="inlineStr"/>
    </row>
    <row r="26">
      <c r="B26" s="4" t="inlineStr">
        <is>
          <t>Product Y</t>
        </is>
      </c>
      <c r="C26" s="22" t="n">
        <v>18.62</v>
      </c>
      <c r="D26" s="15" t="inlineStr"/>
    </row>
    <row r="27">
      <c r="B27" s="4" t="inlineStr">
        <is>
          <t>Product Z</t>
        </is>
      </c>
      <c r="C27" s="22" t="n">
        <v>31.94</v>
      </c>
      <c r="D27" s="15" t="inlineStr"/>
    </row>
    <row r="30">
      <c r="B30" s="14" t="inlineStr">
        <is>
          <t>Hint: Use =FLOOR(price, 1) + 0.99</t>
        </is>
      </c>
    </row>
  </sheetData>
  <mergeCells count="1"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2026-04-06T15:55:41Z</dcterms:created>
  <dcterms:modified xmlns:dcterms="http://purl.org/dc/terms/" xmlns:xsi="http://www.w3.org/2001/XMLSchema-instance" xsi:type="dcterms:W3CDTF">2026-04-06T15:56:48Z</dcterms:modified>
</cp:coreProperties>
</file>