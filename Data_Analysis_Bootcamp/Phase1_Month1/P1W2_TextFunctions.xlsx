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N LEFT RIGHT (Demo)" sheetId="1" state="visible" r:id="rId1"/>
    <sheet xmlns:r="http://schemas.openxmlformats.org/officeDocument/2006/relationships" name="LEN LEFT RIGHT (Practice)" sheetId="2" state="visible" r:id="rId2"/>
    <sheet xmlns:r="http://schemas.openxmlformats.org/officeDocument/2006/relationships" name="MID FIND SUBSTITUTE (Demo)" sheetId="3" state="visible" r:id="rId3"/>
    <sheet xmlns:r="http://schemas.openxmlformats.org/officeDocument/2006/relationships" name="MID FIND SUBSTITUTE (Practice)" sheetId="4" state="visible" r:id="rId4"/>
    <sheet xmlns:r="http://schemas.openxmlformats.org/officeDocument/2006/relationships" name="CONCAT &amp; TEXTJOIN (Demo)" sheetId="5" state="visible" r:id="rId5"/>
    <sheet xmlns:r="http://schemas.openxmlformats.org/officeDocument/2006/relationships" name="CONCAT &amp; TEXTJOIN (Practice)" sheetId="6" state="visible" r:id="rId6"/>
    <sheet xmlns:r="http://schemas.openxmlformats.org/officeDocument/2006/relationships" name="TRIM CLEAN PROPER (Demo)" sheetId="7" state="visible" r:id="rId7"/>
    <sheet xmlns:r="http://schemas.openxmlformats.org/officeDocument/2006/relationships" name="TRIM CLEAN PROPER (Practic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333333"/>
      <sz val="18"/>
    </font>
    <font>
      <b val="1"/>
      <color rgb="000066CC"/>
      <sz val="14"/>
    </font>
    <font>
      <b val="1"/>
      <color rgb="00FFFFFF"/>
    </font>
    <font>
      <name val="Courier New"/>
      <sz val="9"/>
    </font>
    <font>
      <name val="Courier New"/>
      <sz val="10"/>
    </font>
    <font>
      <b val="1"/>
      <sz val="10"/>
    </font>
    <font>
      <color rgb="00666666"/>
      <sz val="9"/>
    </font>
    <font>
      <name val="Courier New"/>
      <sz val="8"/>
    </font>
    <font>
      <i val="1"/>
      <color rgb="00666666"/>
      <sz val="10"/>
    </font>
    <font>
      <b val="1"/>
      <sz val="11"/>
    </font>
    <font>
      <i val="1"/>
      <color rgb="00666666"/>
      <sz val="9"/>
    </font>
    <font>
      <i val="1"/>
      <sz val="10"/>
    </font>
    <font>
      <name val="Courier New"/>
      <b val="1"/>
      <sz val="12"/>
    </font>
  </fonts>
  <fills count="6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  <fill>
      <patternFill patternType="solid">
        <fgColor rgb="00E6F0FA"/>
        <bgColor rgb="00E6F0FA"/>
      </patternFill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4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3" fillId="5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5" customWidth="1" min="3" max="3"/>
    <col width="30" customWidth="1" min="4" max="4"/>
    <col width="25" customWidth="1" min="5" max="5"/>
  </cols>
  <sheetData>
    <row r="2" ht="30" customHeight="1">
      <c r="B2" s="1" t="inlineStr">
        <is>
          <t>TEXT FUNCTIONS: LEN, LEFT, RIGHT - DEMO</t>
        </is>
      </c>
    </row>
    <row r="4">
      <c r="B4" s="2" t="inlineStr">
        <is>
          <t>FUNCTION SYNTAX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Description</t>
        </is>
      </c>
      <c r="E6" s="3" t="inlineStr">
        <is>
          <t>Example</t>
        </is>
      </c>
    </row>
    <row r="7">
      <c r="B7" s="4" t="inlineStr">
        <is>
          <t>LEN</t>
        </is>
      </c>
      <c r="C7" s="5">
        <f>LEN(text)</f>
        <v/>
      </c>
      <c r="D7" s="4" t="inlineStr">
        <is>
          <t>Returns number of characters</t>
        </is>
      </c>
      <c r="E7" s="5">
        <f>LEN("Hello") → 5</f>
        <v/>
      </c>
    </row>
    <row r="8">
      <c r="B8" s="6" t="inlineStr">
        <is>
          <t>LEFT</t>
        </is>
      </c>
      <c r="C8" s="7">
        <f>LEFT(text, [num_chars])</f>
        <v/>
      </c>
      <c r="D8" s="6" t="inlineStr">
        <is>
          <t>Extracts characters from left</t>
        </is>
      </c>
      <c r="E8" s="7">
        <f>LEFT("Excel", 2) → "Ex"</f>
        <v/>
      </c>
    </row>
    <row r="9">
      <c r="B9" s="4" t="inlineStr">
        <is>
          <t>RIGHT</t>
        </is>
      </c>
      <c r="C9" s="5">
        <f>RIGHT(text, [num_chars])</f>
        <v/>
      </c>
      <c r="D9" s="4" t="inlineStr">
        <is>
          <t>Extracts characters from right</t>
        </is>
      </c>
      <c r="E9" s="5">
        <f>RIGHT("Excel", 3) → "cel"</f>
        <v/>
      </c>
    </row>
    <row r="13">
      <c r="B13" s="2" t="inlineStr">
        <is>
          <t>PRACTICAL EXAMPLE: PRODUCT CODE ANALYSIS</t>
        </is>
      </c>
    </row>
    <row r="15">
      <c r="B15" s="3" t="inlineStr">
        <is>
          <t>Product Code</t>
        </is>
      </c>
      <c r="C15" s="3" t="inlineStr">
        <is>
          <t>Length</t>
        </is>
      </c>
      <c r="D15" s="3" t="inlineStr">
        <is>
          <t>Category (First 3)</t>
        </is>
      </c>
      <c r="E15" s="3" t="inlineStr">
        <is>
          <t>Serial (Last 4)</t>
        </is>
      </c>
    </row>
    <row r="16">
      <c r="B16" s="8" t="inlineStr">
        <is>
          <t>ELC-1234-AB</t>
        </is>
      </c>
      <c r="C16" s="4">
        <f>LEN(B16)</f>
        <v/>
      </c>
      <c r="D16" s="4">
        <f>LEFT(B16, 3)</f>
        <v/>
      </c>
      <c r="E16" s="4">
        <f>RIGHT(B16, 4)</f>
        <v/>
      </c>
    </row>
    <row r="17">
      <c r="B17" s="8" t="inlineStr">
        <is>
          <t>FUR-5678-CD</t>
        </is>
      </c>
      <c r="C17" s="4">
        <f>LEN(B17)</f>
        <v/>
      </c>
      <c r="D17" s="4">
        <f>LEFT(B17, 3)</f>
        <v/>
      </c>
      <c r="E17" s="4">
        <f>RIGHT(B17, 4)</f>
        <v/>
      </c>
    </row>
    <row r="18">
      <c r="B18" s="8" t="inlineStr">
        <is>
          <t>APP-9012-EF</t>
        </is>
      </c>
      <c r="C18" s="4">
        <f>LEN(B18)</f>
        <v/>
      </c>
      <c r="D18" s="4">
        <f>LEFT(B18, 3)</f>
        <v/>
      </c>
      <c r="E18" s="4">
        <f>RIGHT(B18, 4)</f>
        <v/>
      </c>
    </row>
    <row r="19">
      <c r="B19" s="8" t="inlineStr">
        <is>
          <t>OFF-3456-GH</t>
        </is>
      </c>
      <c r="C19" s="4">
        <f>LEN(B19)</f>
        <v/>
      </c>
      <c r="D19" s="4">
        <f>LEFT(B19, 3)</f>
        <v/>
      </c>
      <c r="E19" s="4">
        <f>RIGHT(B19, 4)</f>
        <v/>
      </c>
    </row>
    <row r="23">
      <c r="B23" s="9" t="inlineStr">
        <is>
          <t>Category Key:</t>
        </is>
      </c>
    </row>
    <row r="24">
      <c r="B24" s="10" t="inlineStr">
        <is>
          <t>ELC</t>
        </is>
      </c>
      <c r="C24" s="11" t="inlineStr">
        <is>
          <t>Electronics</t>
        </is>
      </c>
    </row>
    <row r="25">
      <c r="B25" s="10" t="inlineStr">
        <is>
          <t>FUR</t>
        </is>
      </c>
      <c r="C25" s="11" t="inlineStr">
        <is>
          <t>Furniture</t>
        </is>
      </c>
    </row>
    <row r="26">
      <c r="B26" s="10" t="inlineStr">
        <is>
          <t>APP</t>
        </is>
      </c>
      <c r="C26" s="11" t="inlineStr">
        <is>
          <t>Appliances</t>
        </is>
      </c>
    </row>
    <row r="27">
      <c r="B27" s="10" t="inlineStr">
        <is>
          <t>OFF</t>
        </is>
      </c>
      <c r="C27" s="11" t="inlineStr">
        <is>
          <t>Office Supplies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15" customWidth="1" min="4" max="4"/>
    <col width="18" customWidth="1" min="5" max="5"/>
  </cols>
  <sheetData>
    <row r="2" ht="30" customHeight="1">
      <c r="B2" s="1" t="inlineStr">
        <is>
          <t>LEN, LEFT, RIGHT - PRACTICE EXERCISES</t>
        </is>
      </c>
    </row>
    <row r="4">
      <c r="B4" s="2" t="inlineStr">
        <is>
          <t>EXERCISE: EXTRACT CATEGORY ID AND SERIAL NUMBERS</t>
        </is>
      </c>
    </row>
    <row r="6">
      <c r="B6" s="3" t="inlineStr">
        <is>
          <t>Product Code</t>
        </is>
      </c>
      <c r="C6" s="3" t="inlineStr">
        <is>
          <t>Length</t>
        </is>
      </c>
      <c r="D6" s="3" t="inlineStr">
        <is>
          <t>Category ID</t>
        </is>
      </c>
      <c r="E6" s="3" t="inlineStr">
        <is>
          <t>Serial Number</t>
        </is>
      </c>
    </row>
    <row r="7">
      <c r="B7" s="8" t="inlineStr">
        <is>
          <t>COMP-2024-XJ9K</t>
        </is>
      </c>
      <c r="C7" s="12" t="inlineStr"/>
      <c r="D7" s="12" t="inlineStr"/>
      <c r="E7" s="12" t="inlineStr"/>
    </row>
    <row r="8">
      <c r="B8" s="8" t="inlineStr">
        <is>
          <t>MOUS-2023-LP7M</t>
        </is>
      </c>
      <c r="C8" s="12" t="inlineStr"/>
      <c r="D8" s="12" t="inlineStr"/>
      <c r="E8" s="12" t="inlineStr"/>
    </row>
    <row r="9">
      <c r="B9" s="8" t="inlineStr">
        <is>
          <t>KEYB-2024-QR4T</t>
        </is>
      </c>
      <c r="C9" s="12" t="inlineStr"/>
      <c r="D9" s="12" t="inlineStr"/>
      <c r="E9" s="12" t="inlineStr"/>
    </row>
    <row r="10">
      <c r="B10" s="8" t="inlineStr">
        <is>
          <t>MONI-2023-VW2Y</t>
        </is>
      </c>
      <c r="C10" s="12" t="inlineStr"/>
      <c r="D10" s="12" t="inlineStr"/>
      <c r="E10" s="12" t="inlineStr"/>
    </row>
    <row r="11">
      <c r="B11" s="8" t="inlineStr">
        <is>
          <t>HEAD-2024-ZA8B</t>
        </is>
      </c>
      <c r="C11" s="12" t="inlineStr"/>
      <c r="D11" s="12" t="inlineStr"/>
      <c r="E11" s="12" t="inlineStr"/>
    </row>
    <row r="15">
      <c r="B15" s="9" t="inlineStr">
        <is>
          <t>Instructions:</t>
        </is>
      </c>
    </row>
    <row r="16">
      <c r="B16" s="11" t="inlineStr">
        <is>
          <t>1. Use LEN to find the length of each product code</t>
        </is>
      </c>
    </row>
    <row r="17">
      <c r="B17" s="11" t="inlineStr">
        <is>
          <t>2. Use LEFT to extract the first 4 characters (Category ID)</t>
        </is>
      </c>
    </row>
    <row r="18">
      <c r="B18" s="11" t="inlineStr">
        <is>
          <t>3. Use RIGHT to extract the last 4 characters (Serial Number)</t>
        </is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5" customWidth="1" min="3" max="3"/>
    <col width="50" customWidth="1" min="4" max="4"/>
    <col width="25" customWidth="1" min="5" max="5"/>
  </cols>
  <sheetData>
    <row r="2" ht="30" customHeight="1">
      <c r="B2" s="1" t="inlineStr">
        <is>
          <t>TEXT FUNCTIONS: MID, FIND, SUBSTITUTE - DEMO</t>
        </is>
      </c>
    </row>
    <row r="4">
      <c r="B4" s="2" t="inlineStr">
        <is>
          <t>FUNCTION SYNTAX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Description</t>
        </is>
      </c>
      <c r="E6" s="3" t="inlineStr">
        <is>
          <t>Example</t>
        </is>
      </c>
    </row>
    <row r="7">
      <c r="B7" s="4" t="inlineStr">
        <is>
          <t>MID</t>
        </is>
      </c>
      <c r="C7" s="5">
        <f>MID(text, start_num, num_chars)</f>
        <v/>
      </c>
      <c r="D7" s="4" t="inlineStr">
        <is>
          <t>Extracts from middle</t>
        </is>
      </c>
      <c r="E7" s="5">
        <f>MID("Excel", 2, 3) → "xce"</f>
        <v/>
      </c>
    </row>
    <row r="8">
      <c r="B8" s="6" t="inlineStr">
        <is>
          <t>FIND</t>
        </is>
      </c>
      <c r="C8" s="7">
        <f>FIND(find_text, within_text)</f>
        <v/>
      </c>
      <c r="D8" s="6" t="inlineStr">
        <is>
          <t>Finds position of text</t>
        </is>
      </c>
      <c r="E8" s="7">
        <f>FIND("c", "Excel") → 3</f>
        <v/>
      </c>
    </row>
    <row r="9">
      <c r="B9" s="4" t="inlineStr">
        <is>
          <t>SUBSTITUTE</t>
        </is>
      </c>
      <c r="C9" s="5">
        <f>SUBSTITUTE(text, old, new)</f>
        <v/>
      </c>
      <c r="D9" s="4" t="inlineStr">
        <is>
          <t>Replaces text</t>
        </is>
      </c>
      <c r="E9" s="5">
        <f>SUBSTITUTE("Hi","i","ello") → "Hello"</f>
        <v/>
      </c>
    </row>
    <row r="13">
      <c r="B13" s="2" t="inlineStr">
        <is>
          <t>PRACTICAL EXAMPLE: EMAIL EXTRACTION</t>
        </is>
      </c>
    </row>
    <row r="15">
      <c r="B15" s="3" t="inlineStr">
        <is>
          <t>Full Name</t>
        </is>
      </c>
      <c r="C15" s="3" t="inlineStr">
        <is>
          <t>Email Address</t>
        </is>
      </c>
      <c r="D15" s="3" t="inlineStr">
        <is>
          <t>Formula Used</t>
        </is>
      </c>
    </row>
    <row r="16">
      <c r="B16" s="4" t="inlineStr">
        <is>
          <t>John Smith</t>
        </is>
      </c>
      <c r="C16" s="5" t="inlineStr">
        <is>
          <t>john.smith@company.com</t>
        </is>
      </c>
      <c r="D16" s="13">
        <f>LOWER(SUBSTITUTE(SUBSTITUTE(A2," ","."),"@company.com",""))&amp;"@company.com"</f>
        <v/>
      </c>
    </row>
    <row r="17">
      <c r="B17" s="4" t="inlineStr">
        <is>
          <t>Sarah Johnson</t>
        </is>
      </c>
      <c r="C17" s="5" t="inlineStr">
        <is>
          <t>sarah.johnson@company.com</t>
        </is>
      </c>
      <c r="D17" s="13" t="inlineStr"/>
    </row>
    <row r="18">
      <c r="B18" s="4" t="inlineStr">
        <is>
          <t>Mike Brown</t>
        </is>
      </c>
      <c r="C18" s="5" t="inlineStr">
        <is>
          <t>mike.brown@company.com</t>
        </is>
      </c>
      <c r="D18" s="13" t="inlineStr"/>
    </row>
    <row r="22">
      <c r="B22" s="2" t="inlineStr">
        <is>
          <t>PRACTICAL EXAMPLE: CLEAN PHONE NUMBER FORMATS</t>
        </is>
      </c>
    </row>
    <row r="24">
      <c r="B24" s="3" t="inlineStr">
        <is>
          <t>Raw Phone</t>
        </is>
      </c>
      <c r="C24" s="3" t="inlineStr">
        <is>
          <t>Cleaned Format</t>
        </is>
      </c>
      <c r="D24" s="3" t="inlineStr">
        <is>
          <t>Formula</t>
        </is>
      </c>
    </row>
    <row r="25">
      <c r="B25" s="8" t="inlineStr">
        <is>
          <t>(555) 123-4567</t>
        </is>
      </c>
      <c r="C25" s="13">
        <f>SUBSTITUTE(SUBSTITUTE(SUBSTITUTE(B25,"("),")"),"-",".")," ","")</f>
        <v/>
      </c>
    </row>
    <row r="26">
      <c r="B26" s="8" t="inlineStr">
        <is>
          <t>555.987.6543</t>
        </is>
      </c>
      <c r="C26" s="13">
        <f>SUBSTITUTE(SUBSTITUTE(SUBSTITUTE(B26,"("),")"),"-",".")," ","")</f>
        <v/>
      </c>
    </row>
    <row r="27">
      <c r="B27" s="8" t="inlineStr">
        <is>
          <t>555-456-7890</t>
        </is>
      </c>
      <c r="C27" s="13">
        <f>SUBSTITUTE(SUBSTITUTE(SUBSTITUTE(B27,"("),")"),"-",".")," ","")</f>
        <v/>
      </c>
    </row>
    <row r="28">
      <c r="B28" s="8" t="inlineStr">
        <is>
          <t>555 789 0123</t>
        </is>
      </c>
      <c r="C28" s="13">
        <f>SUBSTITUTE(SUBSTITUTE(SUBSTITUTE(B28,"("),")"),"-",".")," ","")</f>
        <v/>
      </c>
    </row>
  </sheetData>
  <mergeCells count="1"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20" customWidth="1" min="3" max="3"/>
    <col width="35" customWidth="1" min="4" max="4"/>
  </cols>
  <sheetData>
    <row r="2" ht="30" customHeight="1">
      <c r="B2" s="1" t="inlineStr">
        <is>
          <t>MID, FIND, SUBSTITUTE - PRACTICE EXERCISES</t>
        </is>
      </c>
    </row>
    <row r="4">
      <c r="B4" s="2" t="inlineStr">
        <is>
          <t>EXERCISE 1: CREATE EMAIL ADDRESSES FROM NAMES</t>
        </is>
      </c>
    </row>
    <row r="6">
      <c r="B6" s="3" t="inlineStr">
        <is>
          <t>First Name</t>
        </is>
      </c>
      <c r="C6" s="3" t="inlineStr">
        <is>
          <t>Last Name</t>
        </is>
      </c>
      <c r="D6" s="3" t="inlineStr">
        <is>
          <t>Email Address</t>
        </is>
      </c>
    </row>
    <row r="7">
      <c r="B7" s="4" t="inlineStr">
        <is>
          <t>Alice</t>
        </is>
      </c>
      <c r="C7" s="4" t="inlineStr">
        <is>
          <t>Johnson</t>
        </is>
      </c>
      <c r="D7" s="12" t="inlineStr"/>
    </row>
    <row r="8">
      <c r="B8" s="4" t="inlineStr">
        <is>
          <t>Bob</t>
        </is>
      </c>
      <c r="C8" s="4" t="inlineStr">
        <is>
          <t>Smith</t>
        </is>
      </c>
      <c r="D8" s="12" t="inlineStr"/>
    </row>
    <row r="9">
      <c r="B9" s="4" t="inlineStr">
        <is>
          <t>Carol</t>
        </is>
      </c>
      <c r="C9" s="4" t="inlineStr">
        <is>
          <t>Williams</t>
        </is>
      </c>
      <c r="D9" s="12" t="inlineStr"/>
    </row>
    <row r="10">
      <c r="B10" s="4" t="inlineStr">
        <is>
          <t>David</t>
        </is>
      </c>
      <c r="C10" s="4" t="inlineStr">
        <is>
          <t>Brown</t>
        </is>
      </c>
      <c r="D10" s="12" t="inlineStr"/>
    </row>
    <row r="11">
      <c r="B11" s="4" t="inlineStr">
        <is>
          <t>Emma</t>
        </is>
      </c>
      <c r="C11" s="4" t="inlineStr">
        <is>
          <t>Davis</t>
        </is>
      </c>
      <c r="D11" s="12" t="inlineStr"/>
    </row>
    <row r="15">
      <c r="B15" s="14" t="inlineStr">
        <is>
          <t>Format: firstname.lastname@company.com (all lowercase)</t>
        </is>
      </c>
    </row>
    <row r="18">
      <c r="B18" s="2" t="inlineStr">
        <is>
          <t>EXERCISE 2: STANDARDIZE PHONE NUMBER FORMATS</t>
        </is>
      </c>
    </row>
    <row r="20">
      <c r="B20" s="3" t="inlineStr">
        <is>
          <t>Raw Phone Number</t>
        </is>
      </c>
      <c r="C20" s="3" t="inlineStr">
        <is>
          <t>Standardized Format</t>
        </is>
      </c>
    </row>
    <row r="21">
      <c r="B21" s="8" t="inlineStr">
        <is>
          <t>(555) 234-5678</t>
        </is>
      </c>
      <c r="C21" s="12" t="inlineStr"/>
    </row>
    <row r="22">
      <c r="B22" s="8" t="inlineStr">
        <is>
          <t>555.876.5432</t>
        </is>
      </c>
      <c r="C22" s="12" t="inlineStr"/>
    </row>
    <row r="23">
      <c r="B23" s="8" t="inlineStr">
        <is>
          <t>555-123-4567 ext 101</t>
        </is>
      </c>
      <c r="C23" s="12" t="inlineStr"/>
    </row>
    <row r="24">
      <c r="B24" s="8" t="inlineStr">
        <is>
          <t>555 999 8888</t>
        </is>
      </c>
      <c r="C24" s="12" t="inlineStr"/>
    </row>
    <row r="28">
      <c r="B28" s="14" t="inlineStr">
        <is>
          <t>Target format: 555-123-4567 (remove all non-numeric characters)</t>
        </is>
      </c>
    </row>
  </sheetData>
  <mergeCells count="1">
    <mergeCell ref="B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5" customWidth="1" min="3" max="3"/>
    <col width="30" customWidth="1" min="4" max="4"/>
    <col width="35" customWidth="1" min="5" max="5"/>
  </cols>
  <sheetData>
    <row r="2" ht="30" customHeight="1">
      <c r="B2" s="1" t="inlineStr">
        <is>
          <t>CONCAT &amp; TEXTJOIN FUNCTIONS - DEMO</t>
        </is>
      </c>
    </row>
    <row r="4">
      <c r="B4" s="2" t="inlineStr">
        <is>
          <t>FUNCTION SYNTAX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Description</t>
        </is>
      </c>
      <c r="E6" s="3" t="inlineStr">
        <is>
          <t>Best For</t>
        </is>
      </c>
    </row>
    <row r="7">
      <c r="B7" s="4" t="inlineStr">
        <is>
          <t>CONCAT</t>
        </is>
      </c>
      <c r="C7" s="5">
        <f>CONCAT(text1, [text2], ...)</f>
        <v/>
      </c>
      <c r="D7" s="4" t="inlineStr">
        <is>
          <t>Joins text strings</t>
        </is>
      </c>
      <c r="E7" s="4" t="inlineStr">
        <is>
          <t>Simple concatenation</t>
        </is>
      </c>
    </row>
    <row r="8">
      <c r="B8" s="6" t="inlineStr">
        <is>
          <t>CONCATENATE</t>
        </is>
      </c>
      <c r="C8" s="7">
        <f>CONCATENATE(text1, ...)</f>
        <v/>
      </c>
      <c r="D8" s="6" t="inlineStr">
        <is>
          <t>Legacy function</t>
        </is>
      </c>
      <c r="E8" s="6" t="inlineStr">
        <is>
          <t>Older Excel versions</t>
        </is>
      </c>
    </row>
    <row r="9">
      <c r="B9" s="4" t="inlineStr">
        <is>
          <t>TEXTJOIN</t>
        </is>
      </c>
      <c r="C9" s="5">
        <f>TEXTJOIN(delimiter, ignore_empty, text1, ...)</f>
        <v/>
      </c>
      <c r="D9" s="4" t="inlineStr">
        <is>
          <t>Joins with delimiter</t>
        </is>
      </c>
      <c r="E9" s="4" t="inlineStr">
        <is>
          <t>Multiple cells with separator</t>
        </is>
      </c>
    </row>
    <row r="10">
      <c r="B10" s="6" t="inlineStr">
        <is>
          <t>&amp; Operator</t>
        </is>
      </c>
      <c r="C10" s="7">
        <f>A1 &amp; " " &amp; B1</f>
        <v/>
      </c>
      <c r="D10" s="6" t="inlineStr">
        <is>
          <t>Ampersand concatenation</t>
        </is>
      </c>
      <c r="E10" s="6" t="inlineStr">
        <is>
          <t>Quick inline joining</t>
        </is>
      </c>
    </row>
    <row r="14">
      <c r="B14" s="2" t="inlineStr">
        <is>
          <t>CONCATENATION EXAMPLES</t>
        </is>
      </c>
    </row>
    <row r="16">
      <c r="B16" s="15" t="inlineStr">
        <is>
          <t>Sample Data:</t>
        </is>
      </c>
    </row>
    <row r="17">
      <c r="B17" s="3" t="inlineStr">
        <is>
          <t>First Name</t>
        </is>
      </c>
      <c r="C17" s="3" t="inlineStr">
        <is>
          <t>Last Name</t>
        </is>
      </c>
      <c r="D17" s="3" t="inlineStr">
        <is>
          <t>City</t>
        </is>
      </c>
      <c r="E17" s="3" t="inlineStr">
        <is>
          <t>State</t>
        </is>
      </c>
    </row>
    <row r="18">
      <c r="B18" s="4" t="inlineStr">
        <is>
          <t>John</t>
        </is>
      </c>
      <c r="C18" s="4" t="inlineStr">
        <is>
          <t>Smith</t>
        </is>
      </c>
      <c r="D18" s="4" t="inlineStr">
        <is>
          <t>New York</t>
        </is>
      </c>
      <c r="E18" s="4" t="inlineStr">
        <is>
          <t>NY</t>
        </is>
      </c>
    </row>
    <row r="21">
      <c r="B21" s="15" t="inlineStr">
        <is>
          <t>Concatenation Results:</t>
        </is>
      </c>
    </row>
    <row r="22">
      <c r="B22" s="16" t="inlineStr">
        <is>
          <t>Goal</t>
        </is>
      </c>
      <c r="C22" s="16" t="inlineStr">
        <is>
          <t>Formula</t>
        </is>
      </c>
      <c r="D22" s="16" t="inlineStr">
        <is>
          <t>Result</t>
        </is>
      </c>
    </row>
    <row r="23">
      <c r="B23" s="4" t="inlineStr">
        <is>
          <t>Full Name</t>
        </is>
      </c>
      <c r="C23" s="5">
        <f>B18 &amp; " " &amp; C18</f>
        <v/>
      </c>
      <c r="D23" s="4" t="inlineStr">
        <is>
          <t>John Smith</t>
        </is>
      </c>
    </row>
    <row r="24">
      <c r="B24" s="6" t="inlineStr">
        <is>
          <t>Full Name (CONCAT)</t>
        </is>
      </c>
      <c r="C24" s="7">
        <f>CONCAT(B18, " ", C18)</f>
        <v/>
      </c>
      <c r="D24" s="6" t="inlineStr">
        <is>
          <t>John Smith</t>
        </is>
      </c>
    </row>
    <row r="25">
      <c r="B25" s="4" t="inlineStr">
        <is>
          <t>City, State</t>
        </is>
      </c>
      <c r="C25" s="5">
        <f>CONCAT(D18, ", ", E18)</f>
        <v/>
      </c>
      <c r="D25" s="4" t="inlineStr">
        <is>
          <t>New York, NY</t>
        </is>
      </c>
    </row>
    <row r="26">
      <c r="B26" s="6" t="inlineStr">
        <is>
          <t>Full Address</t>
        </is>
      </c>
      <c r="C26" s="7">
        <f>TEXTJOIN(", ", TRUE, B18:E18)</f>
        <v/>
      </c>
      <c r="D26" s="6" t="inlineStr">
        <is>
          <t>John, Smith, New York, NY</t>
        </is>
      </c>
    </row>
    <row r="30">
      <c r="B30" s="2" t="inlineStr">
        <is>
          <t>TEXTJOIN WITH IGNORE_EMPTY</t>
        </is>
      </c>
    </row>
    <row r="32">
      <c r="B32" s="9" t="inlineStr">
        <is>
          <t>Sample data with blanks:</t>
        </is>
      </c>
    </row>
    <row r="33">
      <c r="B33" s="3" t="inlineStr">
        <is>
          <t>Skill 1</t>
        </is>
      </c>
      <c r="C33" s="3" t="inlineStr">
        <is>
          <t>Skill 2</t>
        </is>
      </c>
      <c r="D33" s="3" t="inlineStr">
        <is>
          <t>Skill 3</t>
        </is>
      </c>
      <c r="E33" s="3" t="inlineStr">
        <is>
          <t>Combined</t>
        </is>
      </c>
    </row>
    <row r="34">
      <c r="B34" s="4" t="inlineStr">
        <is>
          <t>Excel</t>
        </is>
      </c>
      <c r="C34" s="4" t="inlineStr">
        <is>
          <t>SQL</t>
        </is>
      </c>
      <c r="D34" s="4" t="inlineStr">
        <is>
          <t>Python</t>
        </is>
      </c>
      <c r="E34" s="5">
        <f>TEXTJOIN(", ", TRUE, A2:C2)</f>
        <v/>
      </c>
    </row>
    <row r="35">
      <c r="B35" s="4" t="inlineStr">
        <is>
          <t>Excel</t>
        </is>
      </c>
      <c r="C35" s="4" t="inlineStr"/>
      <c r="D35" s="4" t="inlineStr">
        <is>
          <t>Power BI</t>
        </is>
      </c>
      <c r="E35" s="5">
        <f>TEXTJOIN(", ", TRUE, A3:C3)</f>
        <v/>
      </c>
    </row>
    <row r="36">
      <c r="B36" s="4" t="inlineStr"/>
      <c r="C36" s="4" t="inlineStr">
        <is>
          <t>SQL</t>
        </is>
      </c>
      <c r="D36" s="4" t="inlineStr"/>
      <c r="E36" s="5">
        <f>TEXTJOIN(", ", TRUE, A4:C4)</f>
        <v/>
      </c>
    </row>
    <row r="39">
      <c r="B39" s="17" t="inlineStr">
        <is>
          <t>Note: TEXTJOIN with TRUE ignores empty cells, so no extra commas appear</t>
        </is>
      </c>
    </row>
  </sheetData>
  <mergeCells count="1"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2" customWidth="1" min="5" max="5"/>
    <col width="35" customWidth="1" min="6" max="6"/>
  </cols>
  <sheetData>
    <row r="2" ht="30" customHeight="1">
      <c r="B2" s="1" t="inlineStr">
        <is>
          <t>CONCAT &amp; TEXTJOIN - PRACTICE EXERCISES</t>
        </is>
      </c>
    </row>
    <row r="4">
      <c r="B4" s="2" t="inlineStr">
        <is>
          <t>EXERCISE 1: CREATE EMAIL ADDRESSES</t>
        </is>
      </c>
    </row>
    <row r="6">
      <c r="B6" s="3" t="inlineStr">
        <is>
          <t>First Name</t>
        </is>
      </c>
      <c r="C6" s="3" t="inlineStr">
        <is>
          <t>Last Name</t>
        </is>
      </c>
      <c r="D6" s="3" t="inlineStr">
        <is>
          <t>Email Address</t>
        </is>
      </c>
    </row>
    <row r="7">
      <c r="B7" s="4" t="inlineStr">
        <is>
          <t>Alice</t>
        </is>
      </c>
      <c r="C7" s="4" t="inlineStr">
        <is>
          <t>Johnson</t>
        </is>
      </c>
      <c r="D7" s="12" t="inlineStr"/>
    </row>
    <row r="8">
      <c r="B8" s="4" t="inlineStr">
        <is>
          <t>Bob</t>
        </is>
      </c>
      <c r="C8" s="4" t="inlineStr">
        <is>
          <t>Smith</t>
        </is>
      </c>
      <c r="D8" s="12" t="inlineStr"/>
    </row>
    <row r="9">
      <c r="B9" s="4" t="inlineStr">
        <is>
          <t>Carol</t>
        </is>
      </c>
      <c r="C9" s="4" t="inlineStr">
        <is>
          <t>Williams</t>
        </is>
      </c>
      <c r="D9" s="12" t="inlineStr"/>
    </row>
    <row r="10">
      <c r="B10" s="4" t="inlineStr">
        <is>
          <t>David</t>
        </is>
      </c>
      <c r="C10" s="4" t="inlineStr">
        <is>
          <t>Brown</t>
        </is>
      </c>
      <c r="D10" s="12" t="inlineStr"/>
    </row>
    <row r="14">
      <c r="B14" s="14" t="inlineStr">
        <is>
          <t>Format: firstname.lastname@company.com</t>
        </is>
      </c>
    </row>
    <row r="17">
      <c r="B17" s="2" t="inlineStr">
        <is>
          <t>EXERCISE 2: MERGE ADDRESS FIELDS</t>
        </is>
      </c>
    </row>
    <row r="19">
      <c r="B19" s="3" t="inlineStr">
        <is>
          <t>Street</t>
        </is>
      </c>
      <c r="C19" s="3" t="inlineStr">
        <is>
          <t>City</t>
        </is>
      </c>
      <c r="D19" s="3" t="inlineStr">
        <is>
          <t>State</t>
        </is>
      </c>
      <c r="E19" s="3" t="inlineStr">
        <is>
          <t>ZIP</t>
        </is>
      </c>
      <c r="F19" s="3" t="inlineStr">
        <is>
          <t>Full Address</t>
        </is>
      </c>
    </row>
    <row r="20">
      <c r="B20" s="4" t="inlineStr">
        <is>
          <t>123 Main St</t>
        </is>
      </c>
      <c r="C20" s="4" t="inlineStr">
        <is>
          <t>New York</t>
        </is>
      </c>
      <c r="D20" s="4" t="inlineStr">
        <is>
          <t>NY</t>
        </is>
      </c>
      <c r="E20" s="4" t="inlineStr">
        <is>
          <t>10001</t>
        </is>
      </c>
      <c r="F20" s="12" t="inlineStr"/>
    </row>
    <row r="21">
      <c r="B21" s="4" t="inlineStr">
        <is>
          <t>456 Oak Ave</t>
        </is>
      </c>
      <c r="C21" s="4" t="inlineStr">
        <is>
          <t>Los Angeles</t>
        </is>
      </c>
      <c r="D21" s="4" t="inlineStr">
        <is>
          <t>CA</t>
        </is>
      </c>
      <c r="E21" s="4" t="inlineStr">
        <is>
          <t>90001</t>
        </is>
      </c>
      <c r="F21" s="12" t="inlineStr"/>
    </row>
    <row r="22">
      <c r="B22" s="4" t="inlineStr">
        <is>
          <t>789 Pine Rd</t>
        </is>
      </c>
      <c r="C22" s="4" t="inlineStr">
        <is>
          <t>Chicago</t>
        </is>
      </c>
      <c r="D22" s="4" t="inlineStr">
        <is>
          <t>IL</t>
        </is>
      </c>
      <c r="E22" s="4" t="inlineStr">
        <is>
          <t>60601</t>
        </is>
      </c>
      <c r="F22" s="12" t="inlineStr"/>
    </row>
    <row r="26">
      <c r="B26" s="14" t="inlineStr">
        <is>
          <t>Format: Street, City, State ZIP</t>
        </is>
      </c>
    </row>
  </sheetData>
  <mergeCells count="1"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0" customWidth="1" min="3" max="3"/>
    <col width="45" customWidth="1" min="4" max="4"/>
  </cols>
  <sheetData>
    <row r="2" ht="30" customHeight="1">
      <c r="B2" s="1" t="inlineStr">
        <is>
          <t>TRIM, CLEAN, PROPER - DEMO</t>
        </is>
      </c>
    </row>
    <row r="4">
      <c r="B4" s="2" t="inlineStr">
        <is>
          <t>CLEANUP FUNCTION SYNTAX</t>
        </is>
      </c>
    </row>
    <row r="6">
      <c r="B6" s="3" t="inlineStr">
        <is>
          <t>Function</t>
        </is>
      </c>
      <c r="C6" s="3" t="inlineStr">
        <is>
          <t>Syntax</t>
        </is>
      </c>
      <c r="D6" s="3" t="inlineStr">
        <is>
          <t>What It Does</t>
        </is>
      </c>
    </row>
    <row r="7">
      <c r="B7" s="4" t="inlineStr">
        <is>
          <t>TRIM</t>
        </is>
      </c>
      <c r="C7" s="5">
        <f>TRIM(text)</f>
        <v/>
      </c>
      <c r="D7" s="4" t="inlineStr">
        <is>
          <t>Removes extra spaces (leading, trailing, multiple between words)</t>
        </is>
      </c>
    </row>
    <row r="8">
      <c r="B8" s="6" t="inlineStr">
        <is>
          <t>CLEAN</t>
        </is>
      </c>
      <c r="C8" s="7">
        <f>CLEAN(text)</f>
        <v/>
      </c>
      <c r="D8" s="6" t="inlineStr">
        <is>
          <t>Removes non-printable characters (ASCII 0-31)</t>
        </is>
      </c>
    </row>
    <row r="9">
      <c r="B9" s="4" t="inlineStr">
        <is>
          <t>PROPER</t>
        </is>
      </c>
      <c r="C9" s="5">
        <f>PROPER(text)</f>
        <v/>
      </c>
      <c r="D9" s="4" t="inlineStr">
        <is>
          <t>Capitalizes first letter of each word</t>
        </is>
      </c>
    </row>
    <row r="10">
      <c r="B10" s="6" t="inlineStr">
        <is>
          <t>UPPER</t>
        </is>
      </c>
      <c r="C10" s="7">
        <f>UPPER(text)</f>
        <v/>
      </c>
      <c r="D10" s="6" t="inlineStr">
        <is>
          <t>Converts all text to uppercase</t>
        </is>
      </c>
    </row>
    <row r="11">
      <c r="B11" s="4" t="inlineStr">
        <is>
          <t>LOWER</t>
        </is>
      </c>
      <c r="C11" s="5">
        <f>LOWER(text)</f>
        <v/>
      </c>
      <c r="D11" s="4" t="inlineStr">
        <is>
          <t>Converts all text to lowercase</t>
        </is>
      </c>
    </row>
    <row r="15">
      <c r="B15" s="2" t="inlineStr">
        <is>
          <t>BEFORE &amp; AFTER EXAMPLES</t>
        </is>
      </c>
    </row>
    <row r="17">
      <c r="B17" s="3" t="inlineStr">
        <is>
          <t>Function</t>
        </is>
      </c>
      <c r="C17" s="3" t="inlineStr">
        <is>
          <t>Before</t>
        </is>
      </c>
      <c r="D17" s="3" t="inlineStr">
        <is>
          <t>After</t>
        </is>
      </c>
    </row>
    <row r="18">
      <c r="B18" s="4" t="inlineStr">
        <is>
          <t>TRIM</t>
        </is>
      </c>
      <c r="C18" s="5" t="inlineStr">
        <is>
          <t xml:space="preserve">  John   Smith  </t>
        </is>
      </c>
      <c r="D18" s="5">
        <f>TRIM(A1) → "John Smith"</f>
        <v/>
      </c>
    </row>
    <row r="19">
      <c r="B19" s="4" t="inlineStr">
        <is>
          <t>PROPER</t>
        </is>
      </c>
      <c r="C19" s="5" t="inlineStr">
        <is>
          <t>john smith</t>
        </is>
      </c>
      <c r="D19" s="5">
        <f>PROPER(A1) → "John Smith"</f>
        <v/>
      </c>
    </row>
    <row r="20">
      <c r="B20" s="4" t="inlineStr">
        <is>
          <t>UPPER</t>
        </is>
      </c>
      <c r="C20" s="5" t="inlineStr">
        <is>
          <t>john smith</t>
        </is>
      </c>
      <c r="D20" s="5">
        <f>UPPER(A1) → "JOHN SMITH"</f>
        <v/>
      </c>
    </row>
    <row r="21">
      <c r="B21" s="4" t="inlineStr">
        <is>
          <t>LOWER</t>
        </is>
      </c>
      <c r="C21" s="5" t="inlineStr">
        <is>
          <t>JOHN SMITH</t>
        </is>
      </c>
      <c r="D21" s="5">
        <f>LOWER(A1) → "john smith"</f>
        <v/>
      </c>
    </row>
    <row r="25">
      <c r="B25" s="2" t="inlineStr">
        <is>
          <t>COMBINED CLEANUP FORMULA</t>
        </is>
      </c>
    </row>
    <row r="27">
      <c r="B27" s="18" t="inlineStr">
        <is>
          <t>For messy imported data, combine functions:</t>
        </is>
      </c>
    </row>
    <row r="29">
      <c r="B29" s="19">
        <f>PROPER(TRIM(CLEAN(A1)))</f>
        <v/>
      </c>
    </row>
    <row r="31">
      <c r="B31" s="17" t="inlineStr">
        <is>
          <t>Order matters: CLEAN first, then TRIM, then PROPER</t>
        </is>
      </c>
    </row>
  </sheetData>
  <mergeCells count="1"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K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0" customWidth="1" min="3" max="3"/>
    <col width="40" customWidth="1" min="4" max="4"/>
  </cols>
  <sheetData>
    <row r="2" ht="30" customHeight="1">
      <c r="B2" s="1" t="inlineStr">
        <is>
          <t>TEXT CLEANUP - PRACTICE EXERCISES</t>
        </is>
      </c>
    </row>
    <row r="4">
      <c r="B4" s="2" t="inlineStr">
        <is>
          <t>EXERCISE: CLEAN EXTREMELY MESSY IMPORTED DATA</t>
        </is>
      </c>
    </row>
    <row r="6">
      <c r="B6" s="3" t="inlineStr">
        <is>
          <t>Raw Data</t>
        </is>
      </c>
      <c r="C6" s="3" t="inlineStr">
        <is>
          <t>Cleaned Data</t>
        </is>
      </c>
      <c r="D6" s="3" t="inlineStr">
        <is>
          <t>Formula Used</t>
        </is>
      </c>
    </row>
    <row r="7">
      <c r="B7" s="8" t="inlineStr">
        <is>
          <t xml:space="preserve">  john   smith  </t>
        </is>
      </c>
      <c r="C7" s="12" t="inlineStr"/>
      <c r="D7" s="4" t="inlineStr"/>
    </row>
    <row r="8">
      <c r="B8" s="8" t="inlineStr">
        <is>
          <t>SARAH JOHNSON</t>
        </is>
      </c>
      <c r="C8" s="12" t="inlineStr"/>
      <c r="D8" s="4" t="inlineStr"/>
    </row>
    <row r="9">
      <c r="B9" s="8" t="inlineStr">
        <is>
          <t xml:space="preserve">  mike	brown  </t>
        </is>
      </c>
      <c r="C9" s="12" t="inlineStr"/>
      <c r="D9" s="4" t="inlineStr"/>
    </row>
    <row r="10">
      <c r="B10" s="8" t="inlineStr">
        <is>
          <t>lisa.davis@email.com</t>
        </is>
      </c>
      <c r="C10" s="12" t="inlineStr"/>
      <c r="D10" s="4" t="inlineStr"/>
    </row>
    <row r="11">
      <c r="B11" s="8" t="inlineStr">
        <is>
          <t xml:space="preserve">  NEW YORK  CITY  </t>
        </is>
      </c>
      <c r="C11" s="12" t="inlineStr"/>
      <c r="D11" s="4" t="inlineStr"/>
    </row>
    <row r="15">
      <c r="B15" s="9" t="inlineStr">
        <is>
          <t>Instructions:</t>
        </is>
      </c>
    </row>
    <row r="16">
      <c r="B16" s="11" t="inlineStr">
        <is>
          <t>1. Remove extra spaces using TRIM</t>
        </is>
      </c>
    </row>
    <row r="17">
      <c r="B17" s="11" t="inlineStr">
        <is>
          <t>2. Properly capitalize names using PROPER</t>
        </is>
      </c>
    </row>
    <row r="18">
      <c r="B18" s="11" t="inlineStr">
        <is>
          <t>3. Create a combined formula for one-step cleanup</t>
        </is>
      </c>
    </row>
    <row r="19">
      <c r="B19" s="11" t="n"/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2026-04-06T16:00:34Z</dcterms:created>
  <dcterms:modified xmlns:dcterms="http://purl.org/dc/terms/" xmlns:xsi="http://www.w3.org/2001/XMLSchema-instance" xsi:type="dcterms:W3CDTF">2026-04-06T16:02:33Z</dcterms:modified>
</cp:coreProperties>
</file>