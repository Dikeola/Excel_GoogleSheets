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 Statements (Demo)" sheetId="1" state="visible" r:id="rId1"/>
    <sheet xmlns:r="http://schemas.openxmlformats.org/officeDocument/2006/relationships" name="IF Statements (Practice)" sheetId="2" state="visible" r:id="rId2"/>
    <sheet xmlns:r="http://schemas.openxmlformats.org/officeDocument/2006/relationships" name="AND OR NOT (Demo)" sheetId="3" state="visible" r:id="rId3"/>
    <sheet xmlns:r="http://schemas.openxmlformats.org/officeDocument/2006/relationships" name="AND OR NOT (Practice)" sheetId="4" state="visible" r:id="rId4"/>
    <sheet xmlns:r="http://schemas.openxmlformats.org/officeDocument/2006/relationships" name="IFERROR &amp; IFS (Demo)" sheetId="5" state="visible" r:id="rId5"/>
    <sheet xmlns:r="http://schemas.openxmlformats.org/officeDocument/2006/relationships" name="IFERROR &amp; IFS (Practic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8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name val="Courier New"/>
      <b val="1"/>
      <sz val="12"/>
    </font>
    <font>
      <b val="1"/>
      <sz val="11"/>
    </font>
    <font>
      <name val="Courier New"/>
      <b val="1"/>
    </font>
    <font>
      <name val="Courier New"/>
      <sz val="9"/>
    </font>
    <font>
      <b val="1"/>
      <color rgb="00FFFFFF"/>
    </font>
    <font>
      <name val="Courier New"/>
      <sz val="10"/>
    </font>
    <font>
      <i val="1"/>
      <color rgb="00666666"/>
      <sz val="10"/>
    </font>
    <font>
      <b val="1"/>
      <sz val="10"/>
    </font>
    <font>
      <color rgb="00666666"/>
      <sz val="9"/>
    </font>
    <font>
      <name val="Courier New"/>
      <b val="1"/>
      <sz val="11"/>
    </font>
    <font>
      <b val="1"/>
      <color rgb="00CC0000"/>
    </font>
    <font>
      <name val="Courier New"/>
      <b val="1"/>
      <sz val="10"/>
    </font>
    <font>
      <sz val="10"/>
    </font>
    <font>
      <name val="Courier New"/>
      <color rgb="000066CC"/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8" fillId="2" borderId="0" pivotButton="0" quotePrefix="0" xfId="0"/>
    <xf numFmtId="0" fontId="0" fillId="2" borderId="1" pivotButton="0" quotePrefix="0" xfId="0"/>
    <xf numFmtId="0" fontId="9" fillId="0" borderId="0" pivotButton="0" quotePrefix="0" xfId="0"/>
    <xf numFmtId="164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9" fontId="0" fillId="0" borderId="1" pivotButton="0" quotePrefix="0" xfId="0"/>
    <xf numFmtId="0" fontId="12" fillId="2" borderId="0" pivotButton="0" quotePrefix="0" xfId="0"/>
    <xf numFmtId="0" fontId="13" fillId="0" borderId="1" pivotButton="0" quotePrefix="0" xfId="0"/>
    <xf numFmtId="0" fontId="13" fillId="4" borderId="1" pivotButton="0" quotePrefix="0" xfId="0"/>
    <xf numFmtId="0" fontId="14" fillId="2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165" fontId="0" fillId="0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15" customWidth="1" min="4" max="4"/>
  </cols>
  <sheetData>
    <row r="2" ht="30" customHeight="1">
      <c r="B2" s="1" t="inlineStr">
        <is>
          <t>IF STATEMENTS - DEMO</t>
        </is>
      </c>
    </row>
    <row r="4">
      <c r="B4" s="2" t="inlineStr">
        <is>
          <t>IF FUNCTION SYNTAX</t>
        </is>
      </c>
    </row>
    <row r="6">
      <c r="B6" s="3">
        <f>IF(logical_test, value_if_true, value_if_false)</f>
        <v/>
      </c>
    </row>
    <row r="8">
      <c r="B8" s="4" t="inlineStr">
        <is>
          <t>Comparison Operators:</t>
        </is>
      </c>
    </row>
    <row r="10">
      <c r="B10" s="5" t="inlineStr">
        <is>
          <t>=</t>
        </is>
      </c>
      <c r="C10" s="6" t="inlineStr">
        <is>
          <t>Equal to</t>
        </is>
      </c>
      <c r="D10" s="7" t="inlineStr">
        <is>
          <t>A1 = B1</t>
        </is>
      </c>
    </row>
    <row r="11">
      <c r="B11" s="5" t="inlineStr">
        <is>
          <t>&lt;&gt;</t>
        </is>
      </c>
      <c r="C11" s="6" t="inlineStr">
        <is>
          <t>Not equal to</t>
        </is>
      </c>
      <c r="D11" s="7" t="inlineStr">
        <is>
          <t>A1 &lt;&gt; B1</t>
        </is>
      </c>
    </row>
    <row r="12">
      <c r="B12" s="5" t="inlineStr">
        <is>
          <t>&gt;</t>
        </is>
      </c>
      <c r="C12" s="6" t="inlineStr">
        <is>
          <t>Greater than</t>
        </is>
      </c>
      <c r="D12" s="7" t="inlineStr">
        <is>
          <t>A1 &gt; 100</t>
        </is>
      </c>
    </row>
    <row r="13">
      <c r="B13" s="5" t="inlineStr">
        <is>
          <t>&lt;</t>
        </is>
      </c>
      <c r="C13" s="6" t="inlineStr">
        <is>
          <t>Less than</t>
        </is>
      </c>
      <c r="D13" s="7" t="inlineStr">
        <is>
          <t>A1 &lt; 100</t>
        </is>
      </c>
    </row>
    <row r="14">
      <c r="B14" s="5" t="inlineStr">
        <is>
          <t>&gt;=</t>
        </is>
      </c>
      <c r="C14" s="6" t="inlineStr">
        <is>
          <t>Greater than or equal</t>
        </is>
      </c>
      <c r="D14" s="7" t="inlineStr">
        <is>
          <t>A1 &gt;= 100</t>
        </is>
      </c>
    </row>
    <row r="15">
      <c r="B15" s="5" t="inlineStr">
        <is>
          <t>&lt;=</t>
        </is>
      </c>
      <c r="C15" s="6" t="inlineStr">
        <is>
          <t>Less than or equal</t>
        </is>
      </c>
      <c r="D15" s="7" t="inlineStr">
        <is>
          <t>A1 &lt;= 100</t>
        </is>
      </c>
    </row>
    <row r="19">
      <c r="B19" s="2" t="inlineStr">
        <is>
          <t>SIMPLE IF EXAMPLES</t>
        </is>
      </c>
    </row>
    <row r="21">
      <c r="B21" s="8" t="inlineStr">
        <is>
          <t>Scenario</t>
        </is>
      </c>
      <c r="C21" s="8" t="inlineStr">
        <is>
          <t>Formula</t>
        </is>
      </c>
      <c r="D21" s="8" t="inlineStr">
        <is>
          <t>Result</t>
        </is>
      </c>
    </row>
    <row r="22">
      <c r="B22" s="9" t="inlineStr">
        <is>
          <t>Pass/Fail (score 75)</t>
        </is>
      </c>
      <c r="C22" s="10">
        <f>IF(A1&gt;=60, "Pass", "Fail")</f>
        <v/>
      </c>
      <c r="D22" s="9" t="inlineStr">
        <is>
          <t>Pass</t>
        </is>
      </c>
    </row>
    <row r="23">
      <c r="B23" s="6" t="inlineStr">
        <is>
          <t>Discount (order $120)</t>
        </is>
      </c>
      <c r="C23" s="7">
        <f>IF(A1&gt;100, "10% Off", "No Discount")</f>
        <v/>
      </c>
      <c r="D23" s="6" t="inlineStr">
        <is>
          <t>10% Off</t>
        </is>
      </c>
    </row>
    <row r="24">
      <c r="B24" s="9" t="inlineStr">
        <is>
          <t>Stock Status (qty 5)</t>
        </is>
      </c>
      <c r="C24" s="10">
        <f>IF(A1&lt;10, "Reorder", "OK")</f>
        <v/>
      </c>
      <c r="D24" s="9" t="inlineStr">
        <is>
          <t>Reorder</t>
        </is>
      </c>
    </row>
    <row r="28">
      <c r="B28" s="2" t="inlineStr">
        <is>
          <t>NESTED IF STATEMENTS</t>
        </is>
      </c>
    </row>
    <row r="30">
      <c r="B30" s="4" t="inlineStr">
        <is>
          <t>Grade Calculator Example:</t>
        </is>
      </c>
    </row>
    <row r="32">
      <c r="B32" s="11">
        <f>IF(A1&gt;=90, "A", IF(A1&gt;=80, "B", IF(A1&gt;=70, "C", IF(A1&gt;=60, "D", "F"))))</f>
        <v/>
      </c>
    </row>
    <row r="34">
      <c r="B34" s="8" t="inlineStr">
        <is>
          <t>Score Range</t>
        </is>
      </c>
      <c r="C34" s="8" t="inlineStr">
        <is>
          <t>Grade</t>
        </is>
      </c>
    </row>
    <row r="35">
      <c r="B35" s="6" t="inlineStr">
        <is>
          <t>90-100</t>
        </is>
      </c>
      <c r="C35" s="6" t="inlineStr">
        <is>
          <t>A</t>
        </is>
      </c>
    </row>
    <row r="36">
      <c r="B36" s="6" t="inlineStr">
        <is>
          <t>80-89</t>
        </is>
      </c>
      <c r="C36" s="6" t="inlineStr">
        <is>
          <t>B</t>
        </is>
      </c>
    </row>
    <row r="37">
      <c r="B37" s="6" t="inlineStr">
        <is>
          <t>70-79</t>
        </is>
      </c>
      <c r="C37" s="6" t="inlineStr">
        <is>
          <t>C</t>
        </is>
      </c>
    </row>
    <row r="38">
      <c r="B38" s="6" t="inlineStr">
        <is>
          <t>60-69</t>
        </is>
      </c>
      <c r="C38" s="6" t="inlineStr">
        <is>
          <t>D</t>
        </is>
      </c>
    </row>
    <row r="39">
      <c r="B39" s="6" t="inlineStr">
        <is>
          <t>Below 60</t>
        </is>
      </c>
      <c r="C39" s="6" t="inlineStr">
        <is>
          <t>F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8" customWidth="1" min="4" max="4"/>
    <col width="20" customWidth="1" min="5" max="5"/>
  </cols>
  <sheetData>
    <row r="2" ht="30" customHeight="1">
      <c r="B2" s="1" t="inlineStr">
        <is>
          <t>IF STATEMENTS - PRACTICE EXERCISES</t>
        </is>
      </c>
    </row>
    <row r="4">
      <c r="B4" s="2" t="inlineStr">
        <is>
          <t>EXERCISE 1: GRADE CALCULATOR</t>
        </is>
      </c>
    </row>
    <row r="6">
      <c r="B6" s="8" t="inlineStr">
        <is>
          <t>Student</t>
        </is>
      </c>
      <c r="C6" s="8" t="inlineStr">
        <is>
          <t>Score</t>
        </is>
      </c>
      <c r="D6" s="8" t="inlineStr">
        <is>
          <t>Grade</t>
        </is>
      </c>
    </row>
    <row r="7">
      <c r="B7" s="6" t="inlineStr">
        <is>
          <t>Alice Johnson</t>
        </is>
      </c>
      <c r="C7" s="6" t="n">
        <v>87</v>
      </c>
      <c r="D7" s="12" t="inlineStr"/>
    </row>
    <row r="8">
      <c r="B8" s="6" t="inlineStr">
        <is>
          <t>Bob Smith</t>
        </is>
      </c>
      <c r="C8" s="6" t="n">
        <v>72</v>
      </c>
      <c r="D8" s="12" t="inlineStr"/>
    </row>
    <row r="9">
      <c r="B9" s="6" t="inlineStr">
        <is>
          <t>Carol White</t>
        </is>
      </c>
      <c r="C9" s="6" t="n">
        <v>95</v>
      </c>
      <c r="D9" s="12" t="inlineStr"/>
    </row>
    <row r="10">
      <c r="B10" s="6" t="inlineStr">
        <is>
          <t>David Lee</t>
        </is>
      </c>
      <c r="C10" s="6" t="n">
        <v>58</v>
      </c>
      <c r="D10" s="12" t="inlineStr"/>
    </row>
    <row r="11">
      <c r="B11" s="6" t="inlineStr">
        <is>
          <t>Emma Brown</t>
        </is>
      </c>
      <c r="C11" s="6" t="n">
        <v>91</v>
      </c>
      <c r="D11" s="12" t="inlineStr"/>
    </row>
    <row r="12">
      <c r="B12" s="6" t="inlineStr">
        <is>
          <t>Frank Miller</t>
        </is>
      </c>
      <c r="C12" s="6" t="n">
        <v>76</v>
      </c>
      <c r="D12" s="12" t="inlineStr"/>
    </row>
    <row r="16">
      <c r="B16" s="13" t="inlineStr">
        <is>
          <t>Grading Scale: A (90+), B (80-89), C (70-79), D (60-69), F (Below 60)</t>
        </is>
      </c>
    </row>
    <row r="19">
      <c r="B19" s="2" t="inlineStr">
        <is>
          <t>EXERCISE 2: COMMISSION CALCULATOR WITH TIERS</t>
        </is>
      </c>
    </row>
    <row r="21">
      <c r="B21" s="8" t="inlineStr">
        <is>
          <t>Salesperson</t>
        </is>
      </c>
      <c r="C21" s="8" t="inlineStr">
        <is>
          <t>Sales Amount</t>
        </is>
      </c>
      <c r="D21" s="8" t="inlineStr">
        <is>
          <t>Commission Rate</t>
        </is>
      </c>
      <c r="E21" s="8" t="inlineStr">
        <is>
          <t>Commission Earned</t>
        </is>
      </c>
    </row>
    <row r="22">
      <c r="B22" s="6" t="inlineStr">
        <is>
          <t>John Doe</t>
        </is>
      </c>
      <c r="C22" s="14" t="n">
        <v>8500</v>
      </c>
      <c r="D22" s="12" t="inlineStr"/>
      <c r="E22" s="12" t="inlineStr"/>
    </row>
    <row r="23">
      <c r="B23" s="6" t="inlineStr">
        <is>
          <t>Jane Smith</t>
        </is>
      </c>
      <c r="C23" s="14" t="n">
        <v>15000</v>
      </c>
      <c r="D23" s="12" t="inlineStr"/>
      <c r="E23" s="12" t="inlineStr"/>
    </row>
    <row r="24">
      <c r="B24" s="6" t="inlineStr">
        <is>
          <t>Mike Brown</t>
        </is>
      </c>
      <c r="C24" s="14" t="n">
        <v>22000</v>
      </c>
      <c r="D24" s="12" t="inlineStr"/>
      <c r="E24" s="12" t="inlineStr"/>
    </row>
    <row r="25">
      <c r="B25" s="6" t="inlineStr">
        <is>
          <t>Lisa Davis</t>
        </is>
      </c>
      <c r="C25" s="14" t="n">
        <v>12000</v>
      </c>
      <c r="D25" s="12" t="inlineStr"/>
      <c r="E25" s="12" t="inlineStr"/>
    </row>
    <row r="26">
      <c r="B26" s="6" t="inlineStr">
        <is>
          <t>Tom Wilson</t>
        </is>
      </c>
      <c r="C26" s="14" t="n">
        <v>18500</v>
      </c>
      <c r="D26" s="12" t="inlineStr"/>
      <c r="E26" s="12" t="inlineStr"/>
    </row>
    <row r="30">
      <c r="B30" s="15" t="inlineStr">
        <is>
          <t>Commission Tiers:</t>
        </is>
      </c>
    </row>
    <row r="31">
      <c r="B31" s="16" t="inlineStr">
        <is>
          <t>Sales &lt; $10,000</t>
        </is>
      </c>
      <c r="C31" s="16" t="inlineStr">
        <is>
          <t>5% commission</t>
        </is>
      </c>
    </row>
    <row r="32">
      <c r="B32" s="16" t="inlineStr">
        <is>
          <t>$10,000 - $19,999</t>
        </is>
      </c>
      <c r="C32" s="16" t="inlineStr">
        <is>
          <t>7% commission</t>
        </is>
      </c>
    </row>
    <row r="33">
      <c r="B33" s="16" t="inlineStr">
        <is>
          <t>Sales &gt;= $20,000</t>
        </is>
      </c>
      <c r="C33" s="16" t="inlineStr">
        <is>
          <t>10% commission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40" customWidth="1" min="3" max="3"/>
    <col width="30" customWidth="1" min="4" max="4"/>
  </cols>
  <sheetData>
    <row r="2" ht="30" customHeight="1">
      <c r="B2" s="1" t="inlineStr">
        <is>
          <t>AND, OR, NOT FUNCTIONS - DEMO</t>
        </is>
      </c>
    </row>
    <row r="4">
      <c r="B4" s="2" t="inlineStr">
        <is>
          <t>LOGICAL FUNCTION SYNTAX</t>
        </is>
      </c>
    </row>
    <row r="6">
      <c r="B6" s="8" t="inlineStr">
        <is>
          <t>Function</t>
        </is>
      </c>
      <c r="C6" s="8" t="inlineStr">
        <is>
          <t>Syntax</t>
        </is>
      </c>
      <c r="D6" s="8" t="inlineStr">
        <is>
          <t>Returns TRUE when</t>
        </is>
      </c>
    </row>
    <row r="7">
      <c r="B7" s="6" t="inlineStr">
        <is>
          <t>AND</t>
        </is>
      </c>
      <c r="C7" s="7">
        <f>AND(logical1, [logical2], ...)</f>
        <v/>
      </c>
      <c r="D7" s="6" t="inlineStr">
        <is>
          <t>ALL conditions are true</t>
        </is>
      </c>
    </row>
    <row r="8">
      <c r="B8" s="9" t="inlineStr">
        <is>
          <t>OR</t>
        </is>
      </c>
      <c r="C8" s="10">
        <f>OR(logical1, [logical2], ...)</f>
        <v/>
      </c>
      <c r="D8" s="9" t="inlineStr">
        <is>
          <t>ANY condition is true</t>
        </is>
      </c>
    </row>
    <row r="9">
      <c r="B9" s="6" t="inlineStr">
        <is>
          <t>NOT</t>
        </is>
      </c>
      <c r="C9" s="7">
        <f>NOT(logical)</f>
        <v/>
      </c>
      <c r="D9" s="6" t="inlineStr">
        <is>
          <t>Logical is false (reverses result)</t>
        </is>
      </c>
    </row>
    <row r="13">
      <c r="B13" s="2" t="inlineStr">
        <is>
          <t>COMBINING LOGICAL FUNCTIONS</t>
        </is>
      </c>
    </row>
    <row r="15">
      <c r="B15" s="8" t="inlineStr">
        <is>
          <t>Scenario</t>
        </is>
      </c>
      <c r="C15" s="8" t="inlineStr">
        <is>
          <t>Formula</t>
        </is>
      </c>
      <c r="D15" s="8" t="inlineStr">
        <is>
          <t>Explanation</t>
        </is>
      </c>
    </row>
    <row r="16">
      <c r="B16" s="9" t="inlineStr">
        <is>
          <t>Eligible for bonus (sales&gt;100K AND tenure&gt;2)</t>
        </is>
      </c>
      <c r="C16" s="10">
        <f>IF(AND(A1&gt;100000, B1&gt;2), "Bonus", "No")</f>
        <v/>
      </c>
      <c r="D16" s="9" t="inlineStr">
        <is>
          <t>Both conditions must be true</t>
        </is>
      </c>
    </row>
    <row r="17">
      <c r="B17" s="6" t="inlineStr">
        <is>
          <t>Discount eligible (member OR volume&gt;50)</t>
        </is>
      </c>
      <c r="C17" s="7">
        <f>IF(OR(A1="Yes", B1&gt;50), "Discount", "Full")</f>
        <v/>
      </c>
      <c r="D17" s="6" t="inlineStr">
        <is>
          <t>Either condition qualifies</t>
        </is>
      </c>
    </row>
    <row r="18">
      <c r="B18" s="9" t="inlineStr">
        <is>
          <t>Not eligible (NOT member)</t>
        </is>
      </c>
      <c r="C18" s="10">
        <f>IF(NOT(A1="Member"), "Standard", "Member")</f>
        <v/>
      </c>
      <c r="D18" s="9" t="inlineStr">
        <is>
          <t>Reverses the membership check</t>
        </is>
      </c>
    </row>
    <row r="22">
      <c r="B22" s="2" t="inlineStr">
        <is>
          <t>LOGICAL FUNCTION TRUTH TABLE</t>
        </is>
      </c>
    </row>
    <row r="24">
      <c r="B24" s="8" t="inlineStr">
        <is>
          <t>A</t>
        </is>
      </c>
      <c r="C24" s="8" t="inlineStr">
        <is>
          <t>B</t>
        </is>
      </c>
      <c r="D24" s="8" t="inlineStr">
        <is>
          <t>AND(A,B)</t>
        </is>
      </c>
      <c r="E24" s="8" t="inlineStr">
        <is>
          <t>OR(A,B)</t>
        </is>
      </c>
      <c r="F24" s="8" t="inlineStr">
        <is>
          <t>NOT(A)</t>
        </is>
      </c>
    </row>
    <row r="25">
      <c r="B25" s="6" t="inlineStr">
        <is>
          <t>TRUE</t>
        </is>
      </c>
      <c r="C25" s="6" t="inlineStr">
        <is>
          <t>TRUE</t>
        </is>
      </c>
      <c r="D25" s="6" t="inlineStr">
        <is>
          <t>TRUE</t>
        </is>
      </c>
      <c r="E25" s="6" t="inlineStr">
        <is>
          <t>TRUE</t>
        </is>
      </c>
      <c r="F25" s="6" t="inlineStr">
        <is>
          <t>FALSE</t>
        </is>
      </c>
    </row>
    <row r="26">
      <c r="B26" s="6" t="inlineStr">
        <is>
          <t>TRUE</t>
        </is>
      </c>
      <c r="C26" s="6" t="inlineStr">
        <is>
          <t>FALSE</t>
        </is>
      </c>
      <c r="D26" s="6" t="inlineStr">
        <is>
          <t>FALSE</t>
        </is>
      </c>
      <c r="E26" s="6" t="inlineStr">
        <is>
          <t>TRUE</t>
        </is>
      </c>
      <c r="F26" s="6" t="inlineStr">
        <is>
          <t>FALSE</t>
        </is>
      </c>
    </row>
    <row r="27">
      <c r="B27" s="6" t="inlineStr">
        <is>
          <t>FALSE</t>
        </is>
      </c>
      <c r="C27" s="6" t="inlineStr">
        <is>
          <t>TRUE</t>
        </is>
      </c>
      <c r="D27" s="6" t="inlineStr">
        <is>
          <t>FALSE</t>
        </is>
      </c>
      <c r="E27" s="6" t="inlineStr">
        <is>
          <t>TRUE</t>
        </is>
      </c>
      <c r="F27" s="6" t="inlineStr">
        <is>
          <t>TRUE</t>
        </is>
      </c>
    </row>
    <row r="28">
      <c r="B28" s="6" t="inlineStr">
        <is>
          <t>FALSE</t>
        </is>
      </c>
      <c r="C28" s="6" t="inlineStr">
        <is>
          <t>FALSE</t>
        </is>
      </c>
      <c r="D28" s="6" t="inlineStr">
        <is>
          <t>FALSE</t>
        </is>
      </c>
      <c r="E28" s="6" t="inlineStr">
        <is>
          <t>FALSE</t>
        </is>
      </c>
      <c r="F28" s="6" t="inlineStr">
        <is>
          <t>TRUE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2" ht="30" customHeight="1">
      <c r="B2" s="1" t="inlineStr">
        <is>
          <t>AND, OR, NOT - PRACTICE EXERCISES</t>
        </is>
      </c>
    </row>
    <row r="4">
      <c r="B4" s="2" t="inlineStr">
        <is>
          <t>EXERCISE: LOAN APPROVAL SYSTEM</t>
        </is>
      </c>
    </row>
    <row r="6">
      <c r="B6" s="8" t="inlineStr">
        <is>
          <t>Applicant</t>
        </is>
      </c>
      <c r="C6" s="8" t="inlineStr">
        <is>
          <t>Credit Score</t>
        </is>
      </c>
      <c r="D6" s="8" t="inlineStr">
        <is>
          <t>Annual Income</t>
        </is>
      </c>
      <c r="E6" s="8" t="inlineStr">
        <is>
          <t>Debt Ratio</t>
        </is>
      </c>
      <c r="F6" s="8" t="inlineStr">
        <is>
          <t>Approved</t>
        </is>
      </c>
    </row>
    <row r="7">
      <c r="B7" s="6" t="inlineStr">
        <is>
          <t>John Smith</t>
        </is>
      </c>
      <c r="C7" s="6" t="n">
        <v>720</v>
      </c>
      <c r="D7" s="14" t="n">
        <v>65000</v>
      </c>
      <c r="E7" s="17" t="n">
        <v>0.28</v>
      </c>
      <c r="F7" s="12" t="inlineStr"/>
    </row>
    <row r="8">
      <c r="B8" s="6" t="inlineStr">
        <is>
          <t>Sarah Jones</t>
        </is>
      </c>
      <c r="C8" s="6" t="n">
        <v>680</v>
      </c>
      <c r="D8" s="14" t="n">
        <v>52000</v>
      </c>
      <c r="E8" s="17" t="n">
        <v>0.35</v>
      </c>
      <c r="F8" s="12" t="inlineStr"/>
    </row>
    <row r="9">
      <c r="B9" s="6" t="inlineStr">
        <is>
          <t>Mike Brown</t>
        </is>
      </c>
      <c r="C9" s="6" t="n">
        <v>750</v>
      </c>
      <c r="D9" s="14" t="n">
        <v>78000</v>
      </c>
      <c r="E9" s="17" t="n">
        <v>0.22</v>
      </c>
      <c r="F9" s="12" t="inlineStr"/>
    </row>
    <row r="10">
      <c r="B10" s="6" t="inlineStr">
        <is>
          <t>Lisa Davis</t>
        </is>
      </c>
      <c r="C10" s="6" t="n">
        <v>640</v>
      </c>
      <c r="D10" s="14" t="n">
        <v>48000</v>
      </c>
      <c r="E10" s="17" t="n">
        <v>0.42</v>
      </c>
      <c r="F10" s="12" t="inlineStr"/>
    </row>
    <row r="11">
      <c r="B11" s="6" t="inlineStr">
        <is>
          <t>Tom Wilson</t>
        </is>
      </c>
      <c r="C11" s="6" t="n">
        <v>700</v>
      </c>
      <c r="D11" s="14" t="n">
        <v>60000</v>
      </c>
      <c r="E11" s="17" t="n">
        <v>0.3</v>
      </c>
      <c r="F11" s="12" t="inlineStr"/>
    </row>
    <row r="15">
      <c r="B15" s="15" t="inlineStr">
        <is>
          <t>Approval Criteria:</t>
        </is>
      </c>
    </row>
    <row r="16">
      <c r="B16" s="16" t="inlineStr">
        <is>
          <t>• Credit Score &gt;= 700</t>
        </is>
      </c>
    </row>
    <row r="17">
      <c r="B17" s="16" t="inlineStr">
        <is>
          <t>• Annual Income &gt;= $50,000</t>
        </is>
      </c>
    </row>
    <row r="18">
      <c r="B18" s="16" t="inlineStr">
        <is>
          <t>• Debt Ratio &lt;= 35%</t>
        </is>
      </c>
    </row>
    <row r="19">
      <c r="B19" s="16" t="inlineStr">
        <is>
          <t>• ALL three conditions must be met (use AND function)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  <col width="45" customWidth="1" min="4" max="4"/>
  </cols>
  <sheetData>
    <row r="2" ht="30" customHeight="1">
      <c r="B2" s="1" t="inlineStr">
        <is>
          <t>IFERROR &amp; IFS FUNCTIONS - DEMO</t>
        </is>
      </c>
    </row>
    <row r="4">
      <c r="B4" s="2" t="inlineStr">
        <is>
          <t>IFERROR - ERROR HANDLING</t>
        </is>
      </c>
    </row>
    <row r="6">
      <c r="B6" s="18" t="inlineStr">
        <is>
          <t>Syntax: =IFERROR(value, value_if_error)</t>
        </is>
      </c>
    </row>
    <row r="8">
      <c r="B8" s="4" t="inlineStr">
        <is>
          <t>Common Excel Errors:</t>
        </is>
      </c>
    </row>
    <row r="10">
      <c r="B10" s="8" t="inlineStr">
        <is>
          <t>Error</t>
        </is>
      </c>
      <c r="C10" s="8" t="inlineStr">
        <is>
          <t>Meaning</t>
        </is>
      </c>
      <c r="D10" s="8" t="inlineStr">
        <is>
          <t>Common Cause</t>
        </is>
      </c>
    </row>
    <row r="11">
      <c r="B11" s="19" t="e">
        <v>#DIV/0!</v>
      </c>
      <c r="C11" s="6" t="inlineStr">
        <is>
          <t>Divide by zero</t>
        </is>
      </c>
      <c r="D11" s="6" t="inlineStr">
        <is>
          <t>Division by zero or empty cell</t>
        </is>
      </c>
    </row>
    <row r="12">
      <c r="B12" s="20" t="e">
        <v>#VALUE!</v>
      </c>
      <c r="C12" s="9" t="inlineStr">
        <is>
          <t>Wrong value type</t>
        </is>
      </c>
      <c r="D12" s="9" t="inlineStr">
        <is>
          <t>Text used in calculation</t>
        </is>
      </c>
    </row>
    <row r="13">
      <c r="B13" s="19" t="e">
        <v>#REF!</v>
      </c>
      <c r="C13" s="6" t="inlineStr">
        <is>
          <t>Invalid reference</t>
        </is>
      </c>
      <c r="D13" s="6" t="inlineStr">
        <is>
          <t>Deleted cell reference</t>
        </is>
      </c>
    </row>
    <row r="14">
      <c r="B14" s="20" t="e">
        <v>#NAME?</v>
      </c>
      <c r="C14" s="9" t="inlineStr">
        <is>
          <t>Unknown name</t>
        </is>
      </c>
      <c r="D14" s="9" t="inlineStr">
        <is>
          <t>Misspelled function name</t>
        </is>
      </c>
    </row>
    <row r="15">
      <c r="B15" s="19" t="e">
        <v>#N/A</v>
      </c>
      <c r="C15" s="6" t="inlineStr">
        <is>
          <t>Not available</t>
        </is>
      </c>
      <c r="D15" s="6" t="inlineStr">
        <is>
          <t>Lookup value not found</t>
        </is>
      </c>
    </row>
    <row r="19">
      <c r="B19" s="2" t="inlineStr">
        <is>
          <t>IFERROR EXAMPLES</t>
        </is>
      </c>
    </row>
    <row r="21">
      <c r="B21" s="8" t="inlineStr">
        <is>
          <t>Scenario</t>
        </is>
      </c>
      <c r="C21" s="8" t="inlineStr">
        <is>
          <t>Without IFERROR</t>
        </is>
      </c>
      <c r="D21" s="8" t="inlineStr">
        <is>
          <t>With IFERROR</t>
        </is>
      </c>
    </row>
    <row r="22">
      <c r="B22" s="6" t="inlineStr">
        <is>
          <t>Division</t>
        </is>
      </c>
      <c r="C22" s="7">
        <f>A1/B1 → #DIV/0!</f>
        <v/>
      </c>
      <c r="D22" s="7">
        <f>IFERROR(A1/B1, "N/A") → "N/A"</f>
        <v/>
      </c>
    </row>
    <row r="23">
      <c r="B23" s="6" t="inlineStr">
        <is>
          <t>VLOOKUP</t>
        </is>
      </c>
      <c r="C23" s="7">
        <f>VLOOKUP(A1,Table,2,0) → #N/A</f>
        <v/>
      </c>
      <c r="D23" s="7">
        <f>IFERROR(VLOOKUP(...), "Not Found")</f>
        <v/>
      </c>
    </row>
    <row r="24">
      <c r="B24" s="6" t="inlineStr">
        <is>
          <t>Percentage</t>
        </is>
      </c>
      <c r="C24" s="7">
        <f>A1/B1-1 → #DIV/0!</f>
        <v/>
      </c>
      <c r="D24" s="7">
        <f>IFERROR(A1/B1-1, 0) → 0</f>
        <v/>
      </c>
    </row>
    <row r="28">
      <c r="B28" s="2" t="inlineStr">
        <is>
          <t>IFS FUNCTION - MODERN REPLACEMENT FOR NESTED IF</t>
        </is>
      </c>
    </row>
    <row r="30">
      <c r="B30" s="21" t="inlineStr">
        <is>
          <t>Syntax: =IFS(logical_test1, value_if_true1, logical_test2, value_if_true2, ...)</t>
        </is>
      </c>
    </row>
    <row r="32">
      <c r="B32" s="4" t="inlineStr">
        <is>
          <t>Comparison: Nested IF vs IFS</t>
        </is>
      </c>
    </row>
    <row r="34">
      <c r="B34" s="22" t="inlineStr">
        <is>
          <t>Nested IF (harder to read):</t>
        </is>
      </c>
    </row>
    <row r="35">
      <c r="B35" s="23">
        <f>IF(A1&gt;=90,"A",IF(A1&gt;=80,"B",IF(A1&gt;=70,"C",IF(A1&gt;=60,"D","F"))))</f>
        <v/>
      </c>
    </row>
    <row r="37">
      <c r="B37" s="22" t="inlineStr">
        <is>
          <t>IFS (cleaner, easier to maintain):</t>
        </is>
      </c>
    </row>
    <row r="38">
      <c r="B38" s="24">
        <f>IFS(A1&gt;=90,"A",A1&gt;=80,"B",A1&gt;=70,"C",A1&gt;=60,"D",A1&lt;60,"F")</f>
        <v/>
      </c>
    </row>
    <row r="41">
      <c r="B41" s="2" t="inlineStr">
        <is>
          <t>IFS EXAMPLE: SHIPPING RATES</t>
        </is>
      </c>
    </row>
    <row r="43">
      <c r="B43" s="8" t="inlineStr">
        <is>
          <t>Order Total</t>
        </is>
      </c>
      <c r="C43" s="8" t="inlineStr">
        <is>
          <t>Shipping Rate</t>
        </is>
      </c>
      <c r="D43" s="8" t="inlineStr">
        <is>
          <t>Formula</t>
        </is>
      </c>
    </row>
    <row r="44">
      <c r="B44" s="14" t="n">
        <v>25</v>
      </c>
      <c r="C44" s="25" t="n">
        <v>5.99</v>
      </c>
      <c r="D44" s="7">
        <f>IFS(A1&lt;25,5.99,A1&lt;50,7.99,A1&lt;100,9.99,A1&gt;=100,0)</f>
        <v/>
      </c>
    </row>
    <row r="45">
      <c r="B45" s="14" t="n">
        <v>75</v>
      </c>
      <c r="C45" s="25" t="n">
        <v>9.99</v>
      </c>
      <c r="D45" s="7">
        <f>IFS(A1&lt;25,5.99,A1&lt;50,7.99,A1&lt;100,9.99,A1&gt;=100,0)</f>
        <v/>
      </c>
    </row>
    <row r="46">
      <c r="B46" s="14" t="n">
        <v>150</v>
      </c>
      <c r="C46" s="25" t="n">
        <v>0</v>
      </c>
      <c r="D46" s="7">
        <f>IFS(A1&lt;25,5.99,A1&lt;50,7.99,A1&lt;100,9.99,A1&gt;=100,0)</f>
        <v/>
      </c>
    </row>
  </sheetData>
  <mergeCells count="1"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8" customWidth="1" min="4" max="4"/>
  </cols>
  <sheetData>
    <row r="2" ht="30" customHeight="1">
      <c r="B2" s="1" t="inlineStr">
        <is>
          <t>IFERROR &amp; IFS - PRACTICE EXERCISES</t>
        </is>
      </c>
    </row>
    <row r="4">
      <c r="B4" s="2" t="inlineStr">
        <is>
          <t>EXERCISE 1: HANDLE DIVISION BY ZERO ERRORS</t>
        </is>
      </c>
    </row>
    <row r="6">
      <c r="B6" s="8" t="inlineStr">
        <is>
          <t>Product</t>
        </is>
      </c>
      <c r="C6" s="8" t="inlineStr">
        <is>
          <t>Sales</t>
        </is>
      </c>
      <c r="D6" s="8" t="inlineStr">
        <is>
          <t>Target</t>
        </is>
      </c>
      <c r="E6" s="8" t="inlineStr">
        <is>
          <t>Achievement %</t>
        </is>
      </c>
    </row>
    <row r="7">
      <c r="B7" s="6" t="inlineStr">
        <is>
          <t>Product A</t>
        </is>
      </c>
      <c r="C7" s="14" t="n">
        <v>85000</v>
      </c>
      <c r="D7" s="14" t="n">
        <v>100000</v>
      </c>
      <c r="E7" s="12" t="inlineStr"/>
    </row>
    <row r="8">
      <c r="B8" s="6" t="inlineStr">
        <is>
          <t>Product B</t>
        </is>
      </c>
      <c r="C8" s="14" t="n">
        <v>120000</v>
      </c>
      <c r="D8" s="14" t="n">
        <v>120000</v>
      </c>
      <c r="E8" s="12" t="inlineStr"/>
    </row>
    <row r="9">
      <c r="B9" s="6" t="inlineStr">
        <is>
          <t>Product C</t>
        </is>
      </c>
      <c r="C9" s="14" t="n">
        <v>45000</v>
      </c>
      <c r="D9" s="14" t="n">
        <v>0</v>
      </c>
      <c r="E9" s="12" t="inlineStr"/>
    </row>
    <row r="10">
      <c r="B10" s="6" t="inlineStr">
        <is>
          <t>Product D</t>
        </is>
      </c>
      <c r="C10" s="14" t="n">
        <v>95000</v>
      </c>
      <c r="D10" s="14" t="n">
        <v>80000</v>
      </c>
      <c r="E10" s="12" t="inlineStr"/>
    </row>
    <row r="11">
      <c r="B11" s="6" t="inlineStr">
        <is>
          <t>Product E</t>
        </is>
      </c>
      <c r="C11" s="14" t="n">
        <v>67000</v>
      </c>
      <c r="D11" s="14" t="n">
        <v>0</v>
      </c>
      <c r="E11" s="12" t="inlineStr"/>
    </row>
    <row r="15">
      <c r="B15" s="13" t="inlineStr">
        <is>
          <t>Instructions: Use IFERROR to calculate Achievement % (Sales/Target)</t>
        </is>
      </c>
    </row>
    <row r="16">
      <c r="B16" s="26" t="inlineStr">
        <is>
          <t>If target is 0, display 'N/A' instead of #DIV/0! error</t>
        </is>
      </c>
    </row>
    <row r="19">
      <c r="B19" s="2" t="inlineStr">
        <is>
          <t>EXERCISE 2: CUSTOMER SEGMENTATION WITH IFS</t>
        </is>
      </c>
    </row>
    <row r="21">
      <c r="B21" s="8" t="inlineStr">
        <is>
          <t>Customer</t>
        </is>
      </c>
      <c r="C21" s="8" t="inlineStr">
        <is>
          <t>Annual Spend</t>
        </is>
      </c>
      <c r="D21" s="8" t="inlineStr">
        <is>
          <t>Segment</t>
        </is>
      </c>
    </row>
    <row r="22">
      <c r="B22" s="6" t="inlineStr">
        <is>
          <t>Customer A</t>
        </is>
      </c>
      <c r="C22" s="14" t="n">
        <v>5000</v>
      </c>
      <c r="D22" s="12" t="inlineStr"/>
    </row>
    <row r="23">
      <c r="B23" s="6" t="inlineStr">
        <is>
          <t>Customer B</t>
        </is>
      </c>
      <c r="C23" s="14" t="n">
        <v>25000</v>
      </c>
      <c r="D23" s="12" t="inlineStr"/>
    </row>
    <row r="24">
      <c r="B24" s="6" t="inlineStr">
        <is>
          <t>Customer C</t>
        </is>
      </c>
      <c r="C24" s="14" t="n">
        <v>750</v>
      </c>
      <c r="D24" s="12" t="inlineStr"/>
    </row>
    <row r="25">
      <c r="B25" s="6" t="inlineStr">
        <is>
          <t>Customer D</t>
        </is>
      </c>
      <c r="C25" s="14" t="n">
        <v>150000</v>
      </c>
      <c r="D25" s="12" t="inlineStr"/>
    </row>
    <row r="26">
      <c r="B26" s="6" t="inlineStr">
        <is>
          <t>Customer E</t>
        </is>
      </c>
      <c r="C26" s="14" t="n">
        <v>8000</v>
      </c>
      <c r="D26" s="12" t="inlineStr"/>
    </row>
    <row r="27">
      <c r="B27" s="6" t="inlineStr">
        <is>
          <t>Customer F</t>
        </is>
      </c>
      <c r="C27" s="14" t="n">
        <v>45000</v>
      </c>
      <c r="D27" s="12" t="inlineStr"/>
    </row>
    <row r="31">
      <c r="B31" s="15" t="inlineStr">
        <is>
          <t>Segmentation Rules (use IFS):</t>
        </is>
      </c>
    </row>
    <row r="32">
      <c r="B32" s="16" t="inlineStr">
        <is>
          <t>• Spend &gt;= $100,000 → 'VIP'</t>
        </is>
      </c>
    </row>
    <row r="33">
      <c r="B33" s="16" t="inlineStr">
        <is>
          <t>• Spend &gt;= $25,000 → 'Premium'</t>
        </is>
      </c>
    </row>
    <row r="34">
      <c r="B34" s="16" t="inlineStr">
        <is>
          <t>• Spend &gt;= $5,000 → 'Standard'</t>
        </is>
      </c>
    </row>
    <row r="35">
      <c r="B35" s="16" t="inlineStr">
        <is>
          <t>• Spend &lt; $5,000 → 'Basic'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2026-04-06T15:58:07Z</dcterms:created>
  <dcterms:modified xmlns:dcterms="http://purl.org/dc/terms/" xmlns:xsi="http://www.w3.org/2001/XMLSchema-instance" xsi:type="dcterms:W3CDTF">2026-04-06T15:59:07Z</dcterms:modified>
</cp:coreProperties>
</file>