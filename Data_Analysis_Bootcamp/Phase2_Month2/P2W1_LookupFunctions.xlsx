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OOKUP (Demo)" sheetId="1" state="visible" r:id="rId1"/>
    <sheet xmlns:r="http://schemas.openxmlformats.org/officeDocument/2006/relationships" name="VLOOKUP (Practice)" sheetId="2" state="visible" r:id="rId2"/>
    <sheet xmlns:r="http://schemas.openxmlformats.org/officeDocument/2006/relationships" name="INDEX MATCH (Demo)" sheetId="3" state="visible" r:id="rId3"/>
    <sheet xmlns:r="http://schemas.openxmlformats.org/officeDocument/2006/relationships" name="INDEX MATCH (Practice)" sheetId="4" state="visible" r:id="rId4"/>
    <sheet xmlns:r="http://schemas.openxmlformats.org/officeDocument/2006/relationships" name="XLOOKUP (Demo)" sheetId="5" state="visible" r:id="rId5"/>
    <sheet xmlns:r="http://schemas.openxmlformats.org/officeDocument/2006/relationships" name="XLOOKUP (Practice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6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name val="Courier New"/>
      <b val="1"/>
      <sz val="11"/>
    </font>
    <font>
      <b val="1"/>
      <sz val="11"/>
    </font>
    <font>
      <name val="Courier New"/>
      <b val="1"/>
      <sz val="9"/>
    </font>
    <font>
      <b val="1"/>
      <sz val="10"/>
    </font>
    <font>
      <b val="1"/>
      <color rgb="00FFFFFF"/>
    </font>
    <font>
      <b val="1"/>
      <color rgb="00CC0000"/>
    </font>
    <font>
      <i val="1"/>
      <color rgb="00666666"/>
      <sz val="10"/>
    </font>
    <font>
      <name val="Courier New"/>
      <b val="1"/>
      <sz val="10"/>
    </font>
    <font>
      <name val="Courier New"/>
      <b val="1"/>
      <color rgb="000066CC"/>
      <sz val="10"/>
    </font>
    <font>
      <name val="Courier New"/>
      <sz val="9"/>
    </font>
    <font>
      <i val="1"/>
      <sz val="10"/>
    </font>
    <font>
      <color rgb="00666666"/>
      <sz val="9"/>
    </font>
    <font>
      <name val="Courier New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E6F0FA"/>
        <bgColor rgb="00E6F0FA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3" borderId="1" pivotButton="0" quotePrefix="0" xfId="0"/>
    <xf numFmtId="164" fontId="0" fillId="0" borderId="1" pivotButton="0" quotePrefix="0" xfId="0"/>
    <xf numFmtId="0" fontId="8" fillId="0" borderId="1" pivotButton="0" quotePrefix="0" xfId="0"/>
    <xf numFmtId="0" fontId="0" fillId="2" borderId="1" pivotButton="0" quotePrefix="0" xfId="0"/>
    <xf numFmtId="0" fontId="9" fillId="0" borderId="0" pivotButton="0" quotePrefix="0" xfId="0"/>
    <xf numFmtId="165" fontId="0" fillId="0" borderId="1" pivotButton="0" quotePrefix="0" xfId="0"/>
    <xf numFmtId="0" fontId="10" fillId="2" borderId="0" pivotButton="0" quotePrefix="0" xfId="0"/>
    <xf numFmtId="0" fontId="11" fillId="0" borderId="0" pivotButton="0" quotePrefix="0" xfId="0"/>
    <xf numFmtId="0" fontId="12" fillId="2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2" fillId="0" borderId="1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8" customWidth="1" min="3" max="3"/>
    <col width="30" customWidth="1" min="4" max="4"/>
    <col width="15" customWidth="1" min="5" max="5"/>
  </cols>
  <sheetData>
    <row r="2" ht="30" customHeight="1">
      <c r="B2" s="1" t="inlineStr">
        <is>
          <t>VLOOKUP FUNCTION - DEMO</t>
        </is>
      </c>
    </row>
    <row r="4">
      <c r="B4" s="2" t="inlineStr">
        <is>
          <t>VLOOKUP SYNTAX</t>
        </is>
      </c>
    </row>
    <row r="6">
      <c r="B6" s="3">
        <f>VLOOKUP(lookup_value, table_array, col_index_num, [range_lookup])</f>
        <v/>
      </c>
    </row>
    <row r="8">
      <c r="B8" s="4" t="inlineStr">
        <is>
          <t>Parameters:</t>
        </is>
      </c>
    </row>
    <row r="10">
      <c r="B10" s="5" t="inlineStr">
        <is>
          <t>lookup_value</t>
        </is>
      </c>
      <c r="C10" s="6" t="inlineStr">
        <is>
          <t>The value to search for</t>
        </is>
      </c>
    </row>
    <row r="11">
      <c r="B11" s="5" t="inlineStr">
        <is>
          <t>table_array</t>
        </is>
      </c>
      <c r="C11" s="6" t="inlineStr">
        <is>
          <t>The range containing lookup table (lookup column must be first)</t>
        </is>
      </c>
    </row>
    <row r="12">
      <c r="B12" s="5" t="inlineStr">
        <is>
          <t>col_index_num</t>
        </is>
      </c>
      <c r="C12" s="6" t="inlineStr">
        <is>
          <t>Column number in table_array to return value from</t>
        </is>
      </c>
    </row>
    <row r="13">
      <c r="B13" s="5" t="inlineStr">
        <is>
          <t>range_lookup</t>
        </is>
      </c>
      <c r="C13" s="6" t="inlineStr">
        <is>
          <t>FALSE = exact match, TRUE = approximate match</t>
        </is>
      </c>
    </row>
    <row r="17">
      <c r="B17" s="2" t="inlineStr">
        <is>
          <t>PRACTICAL EXAMPLE: PRODUCT PRICE LOOKUP</t>
        </is>
      </c>
    </row>
    <row r="19">
      <c r="B19" s="7" t="inlineStr">
        <is>
          <t>Lookup Table:</t>
        </is>
      </c>
    </row>
    <row r="20">
      <c r="B20" s="8" t="inlineStr">
        <is>
          <t>Product ID</t>
        </is>
      </c>
      <c r="C20" s="8" t="inlineStr">
        <is>
          <t>Product Name</t>
        </is>
      </c>
      <c r="D20" s="8" t="inlineStr">
        <is>
          <t>Price</t>
        </is>
      </c>
      <c r="E20" s="8" t="inlineStr">
        <is>
          <t>Category</t>
        </is>
      </c>
    </row>
    <row r="21">
      <c r="B21" s="6" t="inlineStr">
        <is>
          <t>P001</t>
        </is>
      </c>
      <c r="C21" s="6" t="inlineStr">
        <is>
          <t>Laptop</t>
        </is>
      </c>
      <c r="D21" s="9" t="n">
        <v>899.99</v>
      </c>
      <c r="E21" s="6" t="inlineStr">
        <is>
          <t>Electronics</t>
        </is>
      </c>
    </row>
    <row r="22">
      <c r="B22" s="6" t="inlineStr">
        <is>
          <t>P002</t>
        </is>
      </c>
      <c r="C22" s="6" t="inlineStr">
        <is>
          <t>Mouse</t>
        </is>
      </c>
      <c r="D22" s="9" t="n">
        <v>29.99</v>
      </c>
      <c r="E22" s="6" t="inlineStr">
        <is>
          <t>Accessories</t>
        </is>
      </c>
    </row>
    <row r="23">
      <c r="B23" s="6" t="inlineStr">
        <is>
          <t>P003</t>
        </is>
      </c>
      <c r="C23" s="6" t="inlineStr">
        <is>
          <t>Keyboard</t>
        </is>
      </c>
      <c r="D23" s="9" t="n">
        <v>79.98999999999999</v>
      </c>
      <c r="E23" s="6" t="inlineStr">
        <is>
          <t>Accessories</t>
        </is>
      </c>
    </row>
    <row r="24">
      <c r="B24" s="6" t="inlineStr">
        <is>
          <t>P004</t>
        </is>
      </c>
      <c r="C24" s="6" t="inlineStr">
        <is>
          <t>Monitor</t>
        </is>
      </c>
      <c r="D24" s="9" t="n">
        <v>299.99</v>
      </c>
      <c r="E24" s="6" t="inlineStr">
        <is>
          <t>Electronics</t>
        </is>
      </c>
    </row>
    <row r="25">
      <c r="B25" s="6" t="inlineStr">
        <is>
          <t>P005</t>
        </is>
      </c>
      <c r="C25" s="6" t="inlineStr">
        <is>
          <t>Headset</t>
        </is>
      </c>
      <c r="D25" s="9" t="n">
        <v>129.99</v>
      </c>
      <c r="E25" s="6" t="inlineStr">
        <is>
          <t>Audio</t>
        </is>
      </c>
    </row>
    <row r="30">
      <c r="B30" s="7" t="inlineStr">
        <is>
          <t>Order Data with VLOOKUP:</t>
        </is>
      </c>
    </row>
    <row r="31">
      <c r="B31" s="8" t="inlineStr">
        <is>
          <t>Order ID</t>
        </is>
      </c>
      <c r="C31" s="8" t="inlineStr">
        <is>
          <t>Product ID</t>
        </is>
      </c>
      <c r="D31" s="8" t="inlineStr">
        <is>
          <t>Product Name (VLOOKUP)</t>
        </is>
      </c>
      <c r="E31" s="8" t="inlineStr">
        <is>
          <t>Price (VLOOKUP)</t>
        </is>
      </c>
    </row>
    <row r="32">
      <c r="B32" s="6" t="inlineStr">
        <is>
          <t>ORD-001</t>
        </is>
      </c>
      <c r="C32" s="6" t="inlineStr">
        <is>
          <t>P002</t>
        </is>
      </c>
      <c r="D32" s="6">
        <f>VLOOKUP(C32,$B$21:$E$25,2,FALSE)</f>
        <v/>
      </c>
      <c r="E32" s="9">
        <f>VLOOKUP(C32,$B$21:$E$25,3,FALSE)</f>
        <v/>
      </c>
    </row>
    <row r="33">
      <c r="B33" s="6" t="inlineStr">
        <is>
          <t>ORD-002</t>
        </is>
      </c>
      <c r="C33" s="6" t="inlineStr">
        <is>
          <t>P001</t>
        </is>
      </c>
      <c r="D33" s="6">
        <f>VLOOKUP(C33,$B$21:$E$25,2,FALSE)</f>
        <v/>
      </c>
      <c r="E33" s="9">
        <f>VLOOKUP(C33,$B$21:$E$25,3,FALSE)</f>
        <v/>
      </c>
    </row>
    <row r="34">
      <c r="B34" s="6" t="inlineStr">
        <is>
          <t>ORD-003</t>
        </is>
      </c>
      <c r="C34" s="6" t="inlineStr">
        <is>
          <t>P004</t>
        </is>
      </c>
      <c r="D34" s="6">
        <f>VLOOKUP(C34,$B$21:$E$25,2,FALSE)</f>
        <v/>
      </c>
      <c r="E34" s="9">
        <f>VLOOKUP(C34,$B$21:$E$25,3,FALSE)</f>
        <v/>
      </c>
    </row>
    <row r="38">
      <c r="B38" s="2" t="inlineStr">
        <is>
          <t>COMMON VLOOKUP ERRORS</t>
        </is>
      </c>
    </row>
    <row r="40">
      <c r="B40" s="8" t="inlineStr">
        <is>
          <t>Error</t>
        </is>
      </c>
      <c r="C40" s="8" t="inlineStr">
        <is>
          <t>Cause</t>
        </is>
      </c>
      <c r="D40" s="8" t="inlineStr">
        <is>
          <t>Solution</t>
        </is>
      </c>
    </row>
    <row r="41">
      <c r="B41" s="10" t="e">
        <v>#N/A</v>
      </c>
      <c r="C41" s="6" t="inlineStr">
        <is>
          <t>Value not found in lookup column</t>
        </is>
      </c>
      <c r="D41" s="6" t="inlineStr">
        <is>
          <t>Check spelling, use IFERROR</t>
        </is>
      </c>
    </row>
    <row r="42">
      <c r="B42" s="10" t="e">
        <v>#REF!</v>
      </c>
      <c r="C42" s="6" t="inlineStr">
        <is>
          <t>col_index_num exceeds table columns</t>
        </is>
      </c>
      <c r="D42" s="6" t="inlineStr">
        <is>
          <t>Reduce column index number</t>
        </is>
      </c>
    </row>
    <row r="43">
      <c r="B43" s="10" t="e">
        <v>#VALUE!</v>
      </c>
      <c r="C43" s="6" t="inlineStr">
        <is>
          <t>col_index_num is text or &lt; 1</t>
        </is>
      </c>
      <c r="D43" s="6" t="inlineStr">
        <is>
          <t>Use a number for column index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2" ht="30" customHeight="1">
      <c r="B2" s="1" t="inlineStr">
        <is>
          <t>VLOOKUP - PRACTICE EXERCISES</t>
        </is>
      </c>
    </row>
    <row r="4">
      <c r="B4" s="2" t="inlineStr">
        <is>
          <t>EXERCISE 1: PRODUCT PRICE LOOKUP</t>
        </is>
      </c>
    </row>
    <row r="6">
      <c r="B6" s="7" t="inlineStr">
        <is>
          <t>Price List:</t>
        </is>
      </c>
    </row>
    <row r="7">
      <c r="B7" s="8" t="inlineStr">
        <is>
          <t>Product Code</t>
        </is>
      </c>
      <c r="C7" s="8" t="inlineStr">
        <is>
          <t>Product Name</t>
        </is>
      </c>
      <c r="D7" s="8" t="inlineStr">
        <is>
          <t>Unit Price</t>
        </is>
      </c>
    </row>
    <row r="8">
      <c r="B8" s="6" t="inlineStr">
        <is>
          <t>WID-A1</t>
        </is>
      </c>
      <c r="C8" s="6" t="inlineStr">
        <is>
          <t>Standard Widget</t>
        </is>
      </c>
      <c r="D8" s="9" t="n">
        <v>24.99</v>
      </c>
    </row>
    <row r="9">
      <c r="B9" s="6" t="inlineStr">
        <is>
          <t>WID-B2</t>
        </is>
      </c>
      <c r="C9" s="6" t="inlineStr">
        <is>
          <t>Premium Widget</t>
        </is>
      </c>
      <c r="D9" s="9" t="n">
        <v>49.99</v>
      </c>
    </row>
    <row r="10">
      <c r="B10" s="6" t="inlineStr">
        <is>
          <t>WID-C3</t>
        </is>
      </c>
      <c r="C10" s="6" t="inlineStr">
        <is>
          <t>Deluxe Widget</t>
        </is>
      </c>
      <c r="D10" s="9" t="n">
        <v>79.98999999999999</v>
      </c>
    </row>
    <row r="11">
      <c r="B11" s="6" t="inlineStr">
        <is>
          <t>GAD-X1</t>
        </is>
      </c>
      <c r="C11" s="6" t="inlineStr">
        <is>
          <t>Gadget Pro</t>
        </is>
      </c>
      <c r="D11" s="9" t="n">
        <v>129.99</v>
      </c>
    </row>
    <row r="12">
      <c r="B12" s="6" t="inlineStr">
        <is>
          <t>GAD-Y2</t>
        </is>
      </c>
      <c r="C12" s="6" t="inlineStr">
        <is>
          <t>Gadget Lite</t>
        </is>
      </c>
      <c r="D12" s="9" t="n">
        <v>59.99</v>
      </c>
    </row>
    <row r="16">
      <c r="B16" s="7" t="inlineStr">
        <is>
          <t>Order Form:</t>
        </is>
      </c>
    </row>
    <row r="17">
      <c r="B17" s="8" t="inlineStr">
        <is>
          <t>Line</t>
        </is>
      </c>
      <c r="C17" s="8" t="inlineStr">
        <is>
          <t>Product Code</t>
        </is>
      </c>
      <c r="D17" s="8" t="inlineStr">
        <is>
          <t>Product Name</t>
        </is>
      </c>
      <c r="E17" s="8" t="inlineStr">
        <is>
          <t>Unit Price</t>
        </is>
      </c>
      <c r="F17" s="8" t="inlineStr">
        <is>
          <t>Qty</t>
        </is>
      </c>
      <c r="G17" s="8" t="inlineStr">
        <is>
          <t>Total</t>
        </is>
      </c>
    </row>
    <row r="18">
      <c r="B18" s="6" t="n">
        <v>1</v>
      </c>
      <c r="C18" s="6" t="inlineStr">
        <is>
          <t>WID-A1</t>
        </is>
      </c>
      <c r="D18" s="11" t="inlineStr"/>
      <c r="E18" s="11" t="inlineStr"/>
      <c r="F18" s="6" t="n">
        <v>5</v>
      </c>
      <c r="G18" s="11" t="inlineStr"/>
    </row>
    <row r="19">
      <c r="B19" s="6" t="n">
        <v>2</v>
      </c>
      <c r="C19" s="6" t="inlineStr">
        <is>
          <t>GAD-X1</t>
        </is>
      </c>
      <c r="D19" s="11" t="inlineStr"/>
      <c r="E19" s="11" t="inlineStr"/>
      <c r="F19" s="6" t="n">
        <v>2</v>
      </c>
      <c r="G19" s="11" t="inlineStr"/>
    </row>
    <row r="20">
      <c r="B20" s="6" t="n">
        <v>3</v>
      </c>
      <c r="C20" s="6" t="inlineStr">
        <is>
          <t>WID-C3</t>
        </is>
      </c>
      <c r="D20" s="11" t="inlineStr"/>
      <c r="E20" s="11" t="inlineStr"/>
      <c r="F20" s="6" t="n">
        <v>1</v>
      </c>
      <c r="G20" s="11" t="inlineStr"/>
    </row>
    <row r="24">
      <c r="B24" s="12" t="inlineStr">
        <is>
          <t>Instructions: Use VLOOKUP to fill in Product Name and Unit Price</t>
        </is>
      </c>
    </row>
    <row r="27">
      <c r="B27" s="2" t="inlineStr">
        <is>
          <t>EXERCISE 2: EMPLOYEE DETAILS LOOKUP</t>
        </is>
      </c>
    </row>
    <row r="29">
      <c r="B29" s="7" t="inlineStr">
        <is>
          <t>Employee Database:</t>
        </is>
      </c>
    </row>
    <row r="30">
      <c r="B30" s="8" t="inlineStr">
        <is>
          <t>Emp ID</t>
        </is>
      </c>
      <c r="C30" s="8" t="inlineStr">
        <is>
          <t>Name</t>
        </is>
      </c>
      <c r="D30" s="8" t="inlineStr">
        <is>
          <t>Department</t>
        </is>
      </c>
      <c r="E30" s="8" t="inlineStr">
        <is>
          <t>Salary</t>
        </is>
      </c>
    </row>
    <row r="31">
      <c r="B31" s="6" t="inlineStr">
        <is>
          <t>E001</t>
        </is>
      </c>
      <c r="C31" s="6" t="inlineStr">
        <is>
          <t>Alice Johnson</t>
        </is>
      </c>
      <c r="D31" s="6" t="inlineStr">
        <is>
          <t>Engineering</t>
        </is>
      </c>
      <c r="E31" s="13" t="n">
        <v>85000</v>
      </c>
    </row>
    <row r="32">
      <c r="B32" s="6" t="inlineStr">
        <is>
          <t>E002</t>
        </is>
      </c>
      <c r="C32" s="6" t="inlineStr">
        <is>
          <t>Bob Smith</t>
        </is>
      </c>
      <c r="D32" s="6" t="inlineStr">
        <is>
          <t>Sales</t>
        </is>
      </c>
      <c r="E32" s="13" t="n">
        <v>65000</v>
      </c>
    </row>
    <row r="33">
      <c r="B33" s="6" t="inlineStr">
        <is>
          <t>E003</t>
        </is>
      </c>
      <c r="C33" s="6" t="inlineStr">
        <is>
          <t>Carol White</t>
        </is>
      </c>
      <c r="D33" s="6" t="inlineStr">
        <is>
          <t>Marketing</t>
        </is>
      </c>
      <c r="E33" s="13" t="n">
        <v>70000</v>
      </c>
    </row>
    <row r="34">
      <c r="B34" s="6" t="inlineStr">
        <is>
          <t>E004</t>
        </is>
      </c>
      <c r="C34" s="6" t="inlineStr">
        <is>
          <t>David Lee</t>
        </is>
      </c>
      <c r="D34" s="6" t="inlineStr">
        <is>
          <t>Engineering</t>
        </is>
      </c>
      <c r="E34" s="13" t="n">
        <v>92000</v>
      </c>
    </row>
    <row r="38">
      <c r="B38" s="7" t="inlineStr">
        <is>
          <t>Lookup Requests:</t>
        </is>
      </c>
    </row>
    <row r="39">
      <c r="B39" s="8" t="inlineStr">
        <is>
          <t>Emp ID</t>
        </is>
      </c>
      <c r="C39" s="8" t="inlineStr">
        <is>
          <t>Name</t>
        </is>
      </c>
      <c r="D39" s="8" t="inlineStr">
        <is>
          <t>Department</t>
        </is>
      </c>
    </row>
    <row r="40">
      <c r="B40" s="6" t="inlineStr">
        <is>
          <t>E002</t>
        </is>
      </c>
      <c r="C40" s="11" t="inlineStr"/>
      <c r="D40" s="11" t="inlineStr"/>
    </row>
    <row r="41">
      <c r="B41" s="6" t="inlineStr">
        <is>
          <t>E004</t>
        </is>
      </c>
      <c r="C41" s="11" t="inlineStr"/>
      <c r="D41" s="11" t="inlineStr"/>
    </row>
    <row r="42">
      <c r="B42" s="6" t="inlineStr">
        <is>
          <t>E001</t>
        </is>
      </c>
      <c r="C42" s="11" t="inlineStr"/>
      <c r="D42" s="11" t="inlineStr"/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35" customWidth="1" min="3" max="3"/>
  </cols>
  <sheetData>
    <row r="2" ht="30" customHeight="1">
      <c r="B2" s="1" t="inlineStr">
        <is>
          <t>INDEX &amp; MATCH FUNCTIONS - DEMO</t>
        </is>
      </c>
    </row>
    <row r="4">
      <c r="B4" s="2" t="inlineStr">
        <is>
          <t>WHY INDEX/MATCH OVER VLOOKUP?</t>
        </is>
      </c>
    </row>
    <row r="6">
      <c r="B6" s="8" t="inlineStr">
        <is>
          <t>Advantage</t>
        </is>
      </c>
      <c r="C6" s="8" t="inlineStr">
        <is>
          <t>vs VLOOKUP</t>
        </is>
      </c>
    </row>
    <row r="7">
      <c r="B7" s="6" t="inlineStr">
        <is>
          <t>Lookup column can be anywhere</t>
        </is>
      </c>
      <c r="C7" s="6" t="inlineStr">
        <is>
          <t>VLOOKUP requires lookup column to be first</t>
        </is>
      </c>
    </row>
    <row r="8">
      <c r="B8" s="6" t="inlineStr">
        <is>
          <t>Can lookup left</t>
        </is>
      </c>
      <c r="C8" s="6" t="inlineStr">
        <is>
          <t>VLOOKUP can only return columns to the right</t>
        </is>
      </c>
    </row>
    <row r="9">
      <c r="B9" s="6" t="inlineStr">
        <is>
          <t>More flexible</t>
        </is>
      </c>
      <c r="C9" s="6" t="inlineStr">
        <is>
          <t>Easier to add/remove columns without breaking formula</t>
        </is>
      </c>
    </row>
    <row r="10">
      <c r="B10" s="6" t="inlineStr">
        <is>
          <t>Better performance</t>
        </is>
      </c>
      <c r="C10" s="6" t="inlineStr">
        <is>
          <t>Faster with large datasets</t>
        </is>
      </c>
    </row>
    <row r="14">
      <c r="B14" s="2" t="inlineStr">
        <is>
          <t>INDEX &amp; MATCH SYNTAX</t>
        </is>
      </c>
    </row>
    <row r="16">
      <c r="B16" s="14">
        <f>INDEX(array, row_num, [column_num])</f>
        <v/>
      </c>
    </row>
    <row r="17">
      <c r="B17" s="14">
        <f>MATCH(lookup_value, lookup_array, [match_type])</f>
        <v/>
      </c>
    </row>
    <row r="19">
      <c r="B19" s="15" t="inlineStr">
        <is>
          <t>Combined: =INDEX(return_array, MATCH(lookup_value, lookup_array, 0))</t>
        </is>
      </c>
    </row>
    <row r="23">
      <c r="B23" s="2" t="inlineStr">
        <is>
          <t>TWO-WAY LOOKUP EXAMPLE</t>
        </is>
      </c>
    </row>
    <row r="25">
      <c r="B25" s="7" t="inlineStr">
        <is>
          <t>Sales Matrix:</t>
        </is>
      </c>
    </row>
    <row r="26">
      <c r="B26" s="8" t="inlineStr">
        <is>
          <t>Product</t>
        </is>
      </c>
      <c r="C26" s="8" t="inlineStr">
        <is>
          <t>Q1</t>
        </is>
      </c>
      <c r="D26" s="8" t="inlineStr">
        <is>
          <t>Q2</t>
        </is>
      </c>
      <c r="E26" s="8" t="inlineStr">
        <is>
          <t>Q3</t>
        </is>
      </c>
      <c r="F26" s="8" t="inlineStr">
        <is>
          <t>Q4</t>
        </is>
      </c>
    </row>
    <row r="27">
      <c r="B27" s="6" t="inlineStr">
        <is>
          <t>Widget A</t>
        </is>
      </c>
      <c r="C27" s="13" t="n">
        <v>12000</v>
      </c>
      <c r="D27" s="13" t="n">
        <v>15000</v>
      </c>
      <c r="E27" s="13" t="n">
        <v>18000</v>
      </c>
      <c r="F27" s="13" t="n">
        <v>21000</v>
      </c>
    </row>
    <row r="28">
      <c r="B28" s="6" t="inlineStr">
        <is>
          <t>Widget B</t>
        </is>
      </c>
      <c r="C28" s="13" t="n">
        <v>8000</v>
      </c>
      <c r="D28" s="13" t="n">
        <v>9500</v>
      </c>
      <c r="E28" s="13" t="n">
        <v>11000</v>
      </c>
      <c r="F28" s="13" t="n">
        <v>13500</v>
      </c>
    </row>
    <row r="29">
      <c r="B29" s="6" t="inlineStr">
        <is>
          <t>Widget C</t>
        </is>
      </c>
      <c r="C29" s="13" t="n">
        <v>15000</v>
      </c>
      <c r="D29" s="13" t="n">
        <v>16500</v>
      </c>
      <c r="E29" s="13" t="n">
        <v>19000</v>
      </c>
      <c r="F29" s="13" t="n">
        <v>22000</v>
      </c>
    </row>
    <row r="33">
      <c r="B33" s="7" t="inlineStr">
        <is>
          <t>Two-way lookup formula:</t>
        </is>
      </c>
    </row>
    <row r="34">
      <c r="B34" s="16">
        <f>INDEX($C$27:$F$29, MATCH("Widget B",$B$27:$B$29,0), MATCH("Q3",$C$26:$F$26,0))</f>
        <v/>
      </c>
    </row>
    <row r="35">
      <c r="B35" s="12" t="inlineStr">
        <is>
          <t>Result: $11,000 (Widget B, Q3)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2" ht="30" customHeight="1">
      <c r="B2" s="1" t="inlineStr">
        <is>
          <t>INDEX &amp; MATCH - PRACTICE EXERCISES</t>
        </is>
      </c>
    </row>
    <row r="4">
      <c r="B4" s="2" t="inlineStr">
        <is>
          <t>EXERCISE: MATRIX DATA RETRIEVAL</t>
        </is>
      </c>
    </row>
    <row r="6">
      <c r="B6" s="7" t="inlineStr">
        <is>
          <t>Employee Performance Matrix:</t>
        </is>
      </c>
    </row>
    <row r="7">
      <c r="B7" s="8" t="inlineStr">
        <is>
          <t>Employee</t>
        </is>
      </c>
      <c r="C7" s="8" t="inlineStr">
        <is>
          <t>Q1 Score</t>
        </is>
      </c>
      <c r="D7" s="8" t="inlineStr">
        <is>
          <t>Q2 Score</t>
        </is>
      </c>
      <c r="E7" s="8" t="inlineStr">
        <is>
          <t>Q3 Score</t>
        </is>
      </c>
      <c r="F7" s="8" t="inlineStr">
        <is>
          <t>Q4 Score</t>
        </is>
      </c>
    </row>
    <row r="8">
      <c r="B8" s="6" t="inlineStr">
        <is>
          <t>Alice</t>
        </is>
      </c>
      <c r="C8" s="6" t="n">
        <v>85</v>
      </c>
      <c r="D8" s="6" t="n">
        <v>88</v>
      </c>
      <c r="E8" s="6" t="n">
        <v>92</v>
      </c>
      <c r="F8" s="6" t="n">
        <v>95</v>
      </c>
    </row>
    <row r="9">
      <c r="B9" s="6" t="inlineStr">
        <is>
          <t>Bob</t>
        </is>
      </c>
      <c r="C9" s="6" t="n">
        <v>78</v>
      </c>
      <c r="D9" s="6" t="n">
        <v>82</v>
      </c>
      <c r="E9" s="6" t="n">
        <v>80</v>
      </c>
      <c r="F9" s="6" t="n">
        <v>85</v>
      </c>
    </row>
    <row r="10">
      <c r="B10" s="6" t="inlineStr">
        <is>
          <t>Carol</t>
        </is>
      </c>
      <c r="C10" s="6" t="n">
        <v>90</v>
      </c>
      <c r="D10" s="6" t="n">
        <v>92</v>
      </c>
      <c r="E10" s="6" t="n">
        <v>94</v>
      </c>
      <c r="F10" s="6" t="n">
        <v>96</v>
      </c>
    </row>
    <row r="11">
      <c r="B11" s="6" t="inlineStr">
        <is>
          <t>David</t>
        </is>
      </c>
      <c r="C11" s="6" t="n">
        <v>72</v>
      </c>
      <c r="D11" s="6" t="n">
        <v>75</v>
      </c>
      <c r="E11" s="6" t="n">
        <v>78</v>
      </c>
      <c r="F11" s="6" t="n">
        <v>80</v>
      </c>
    </row>
    <row r="15">
      <c r="B15" s="7" t="inlineStr">
        <is>
          <t>Retrieve these values using INDEX/MATCH:</t>
        </is>
      </c>
    </row>
    <row r="17">
      <c r="B17" s="6" t="inlineStr">
        <is>
          <t>Carol's Q3 Score</t>
        </is>
      </c>
      <c r="C17" s="11" t="inlineStr"/>
    </row>
    <row r="18">
      <c r="B18" s="6" t="inlineStr">
        <is>
          <t>Bob's Q2 Score</t>
        </is>
      </c>
      <c r="C18" s="11" t="inlineStr"/>
    </row>
    <row r="19">
      <c r="B19" s="6" t="inlineStr">
        <is>
          <t>Alice's Q4 Score</t>
        </is>
      </c>
      <c r="C19" s="11" t="inlineStr"/>
    </row>
  </sheetData>
  <mergeCells count="1"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5" customWidth="1" min="3" max="3"/>
    <col width="15" customWidth="1" min="4" max="4"/>
  </cols>
  <sheetData>
    <row r="2" ht="30" customHeight="1">
      <c r="B2" s="1" t="inlineStr">
        <is>
          <t>XLOOKUP FUNCTION - DEMO</t>
        </is>
      </c>
    </row>
    <row r="4">
      <c r="B4" s="2" t="inlineStr">
        <is>
          <t>XLOOKUP - THE MODERN REPLACEMENT</t>
        </is>
      </c>
    </row>
    <row r="6">
      <c r="B6" s="17" t="inlineStr">
        <is>
          <t>XLOOKUP is available in Excel 365/2021+ and replaces VLOOKUP/INDEX+MATCH</t>
        </is>
      </c>
    </row>
    <row r="8">
      <c r="B8" s="4" t="inlineStr">
        <is>
          <t>Advantages over VLOOKUP:</t>
        </is>
      </c>
    </row>
    <row r="10">
      <c r="B10" s="18" t="inlineStr">
        <is>
          <t>• Lookup column can be anywhere (not just first column)</t>
        </is>
      </c>
    </row>
    <row r="11">
      <c r="B11" s="18" t="inlineStr">
        <is>
          <t>• Can return multiple values (spill ranges)</t>
        </is>
      </c>
    </row>
    <row r="12">
      <c r="B12" s="18" t="inlineStr">
        <is>
          <t>• Built-in error handling (if_not_found parameter)</t>
        </is>
      </c>
    </row>
    <row r="13">
      <c r="B13" s="18" t="inlineStr">
        <is>
          <t>• Can search first-to-last or last-to-first</t>
        </is>
      </c>
    </row>
    <row r="14">
      <c r="B14" s="18" t="inlineStr">
        <is>
          <t>• Can do exact or approximate match easily</t>
        </is>
      </c>
    </row>
    <row r="15">
      <c r="B15" s="18" t="inlineStr">
        <is>
          <t>• Simpler syntax than INDEX/MATCH</t>
        </is>
      </c>
    </row>
    <row r="20">
      <c r="B20" s="2" t="inlineStr">
        <is>
          <t>XLOOKUP SYNTAX</t>
        </is>
      </c>
    </row>
    <row r="22">
      <c r="B22" s="14">
        <f>XLOOKUP(lookup_value, lookup_array, return_array, [if_not_found], [match_mode], [search_mode])</f>
        <v/>
      </c>
    </row>
    <row r="25">
      <c r="B25" s="4" t="inlineStr">
        <is>
          <t>Parameters:</t>
        </is>
      </c>
    </row>
    <row r="27">
      <c r="B27" s="5" t="inlineStr">
        <is>
          <t>lookup_value</t>
        </is>
      </c>
      <c r="C27" s="6" t="inlineStr">
        <is>
          <t>Value to search for</t>
        </is>
      </c>
    </row>
    <row r="28">
      <c r="B28" s="5" t="inlineStr">
        <is>
          <t>lookup_array</t>
        </is>
      </c>
      <c r="C28" s="6" t="inlineStr">
        <is>
          <t>Range to search in</t>
        </is>
      </c>
    </row>
    <row r="29">
      <c r="B29" s="5" t="inlineStr">
        <is>
          <t>return_array</t>
        </is>
      </c>
      <c r="C29" s="6" t="inlineStr">
        <is>
          <t>Range to return values from</t>
        </is>
      </c>
    </row>
    <row r="30">
      <c r="B30" s="5" t="inlineStr">
        <is>
          <t>if_not_found</t>
        </is>
      </c>
      <c r="C30" s="6" t="inlineStr">
        <is>
          <t>Value to return if not found (optional)</t>
        </is>
      </c>
    </row>
    <row r="31">
      <c r="B31" s="5" t="inlineStr">
        <is>
          <t>match_mode</t>
        </is>
      </c>
      <c r="C31" s="6" t="inlineStr">
        <is>
          <t>0=exact, -1=smaller, 1=larger, 2=wildcard</t>
        </is>
      </c>
    </row>
    <row r="32">
      <c r="B32" s="5" t="inlineStr">
        <is>
          <t>search_mode</t>
        </is>
      </c>
      <c r="C32" s="6" t="inlineStr">
        <is>
          <t>1=first-to-last, -1=last-to-first</t>
        </is>
      </c>
    </row>
    <row r="37">
      <c r="B37" s="2" t="inlineStr">
        <is>
          <t>PRACTICAL EXAMPLE: EMPLOYEE LOOKUP</t>
        </is>
      </c>
    </row>
    <row r="39">
      <c r="B39" s="7" t="inlineStr">
        <is>
          <t>Employee Data:</t>
        </is>
      </c>
    </row>
    <row r="40">
      <c r="B40" s="8" t="inlineStr">
        <is>
          <t>Emp ID</t>
        </is>
      </c>
      <c r="C40" s="8" t="inlineStr">
        <is>
          <t>Name</t>
        </is>
      </c>
      <c r="D40" s="8" t="inlineStr">
        <is>
          <t>Department</t>
        </is>
      </c>
      <c r="E40" s="8" t="inlineStr">
        <is>
          <t>Salary</t>
        </is>
      </c>
      <c r="F40" s="8" t="inlineStr">
        <is>
          <t>Start Date</t>
        </is>
      </c>
    </row>
    <row r="41">
      <c r="B41" s="6" t="inlineStr">
        <is>
          <t>E101</t>
        </is>
      </c>
      <c r="C41" s="6" t="inlineStr">
        <is>
          <t>Alice Johnson</t>
        </is>
      </c>
      <c r="D41" s="6" t="inlineStr">
        <is>
          <t>Engineering</t>
        </is>
      </c>
      <c r="E41" s="13" t="n">
        <v>85000</v>
      </c>
      <c r="F41" s="6" t="inlineStr">
        <is>
          <t>2019-03-15</t>
        </is>
      </c>
    </row>
    <row r="42">
      <c r="B42" s="6" t="inlineStr">
        <is>
          <t>E102</t>
        </is>
      </c>
      <c r="C42" s="6" t="inlineStr">
        <is>
          <t>Bob Smith</t>
        </is>
      </c>
      <c r="D42" s="6" t="inlineStr">
        <is>
          <t>Sales</t>
        </is>
      </c>
      <c r="E42" s="13" t="n">
        <v>72000</v>
      </c>
      <c r="F42" s="6" t="inlineStr">
        <is>
          <t>2020-07-22</t>
        </is>
      </c>
    </row>
    <row r="43">
      <c r="B43" s="6" t="inlineStr">
        <is>
          <t>E103</t>
        </is>
      </c>
      <c r="C43" s="6" t="inlineStr">
        <is>
          <t>Carol White</t>
        </is>
      </c>
      <c r="D43" s="6" t="inlineStr">
        <is>
          <t>Marketing</t>
        </is>
      </c>
      <c r="E43" s="13" t="n">
        <v>68000</v>
      </c>
      <c r="F43" s="6" t="inlineStr">
        <is>
          <t>2018-11-08</t>
        </is>
      </c>
    </row>
    <row r="44">
      <c r="B44" s="6" t="inlineStr">
        <is>
          <t>E104</t>
        </is>
      </c>
      <c r="C44" s="6" t="inlineStr">
        <is>
          <t>David Lee</t>
        </is>
      </c>
      <c r="D44" s="6" t="inlineStr">
        <is>
          <t>Engineering</t>
        </is>
      </c>
      <c r="E44" s="13" t="n">
        <v>92000</v>
      </c>
      <c r="F44" s="6" t="inlineStr">
        <is>
          <t>2017-05-20</t>
        </is>
      </c>
    </row>
    <row r="49">
      <c r="B49" s="7" t="inlineStr">
        <is>
          <t>XLOOKUP Examples:</t>
        </is>
      </c>
    </row>
    <row r="51">
      <c r="B51" s="6" t="inlineStr">
        <is>
          <t>Find name for E103</t>
        </is>
      </c>
      <c r="C51" s="19">
        <f>XLOOKUP("E103",B41:B44,C41:C44)</f>
        <v/>
      </c>
      <c r="D51" s="6" t="inlineStr">
        <is>
          <t>Carol White</t>
        </is>
      </c>
    </row>
    <row r="52">
      <c r="B52" s="6" t="inlineStr">
        <is>
          <t>Find salary for E102</t>
        </is>
      </c>
      <c r="C52" s="19">
        <f>XLOOKUP("E102",B41:B44,E41:E44)</f>
        <v/>
      </c>
      <c r="D52" s="6" t="inlineStr">
        <is>
          <t>$72,000</t>
        </is>
      </c>
    </row>
    <row r="53">
      <c r="B53" s="6" t="inlineStr">
        <is>
          <t>With error handling</t>
        </is>
      </c>
      <c r="C53" s="19">
        <f>XLOOKUP("E999",B41:B44,C41:C44,"Not Found")</f>
        <v/>
      </c>
      <c r="D53" s="6" t="inlineStr">
        <is>
          <t>Not Found</t>
        </is>
      </c>
    </row>
  </sheetData>
  <mergeCells count="1"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5" customWidth="1" min="3" max="3"/>
    <col width="18" customWidth="1" min="4" max="4"/>
    <col width="12" customWidth="1" min="5" max="5"/>
  </cols>
  <sheetData>
    <row r="2" ht="30" customHeight="1">
      <c r="B2" s="1" t="inlineStr">
        <is>
          <t>XLOOKUP - PRACTICE EXERCISES</t>
        </is>
      </c>
    </row>
    <row r="4">
      <c r="B4" s="2" t="inlineStr">
        <is>
          <t>EXERCISE 1: REVERSE LOOKUP (LOOKUP RIGHT-TO-LEFT)</t>
        </is>
      </c>
    </row>
    <row r="6">
      <c r="B6" s="7" t="inlineStr">
        <is>
          <t>Product Data:</t>
        </is>
      </c>
    </row>
    <row r="7">
      <c r="B7" s="8" t="inlineStr">
        <is>
          <t>SKU</t>
        </is>
      </c>
      <c r="C7" s="8" t="inlineStr">
        <is>
          <t>Product Name</t>
        </is>
      </c>
      <c r="D7" s="8" t="inlineStr">
        <is>
          <t>Category</t>
        </is>
      </c>
      <c r="E7" s="8" t="inlineStr">
        <is>
          <t>Price</t>
        </is>
      </c>
    </row>
    <row r="8">
      <c r="B8" s="6" t="inlineStr">
        <is>
          <t>SKU-001</t>
        </is>
      </c>
      <c r="C8" s="6" t="inlineStr">
        <is>
          <t>Wireless Mouse</t>
        </is>
      </c>
      <c r="D8" s="6" t="inlineStr">
        <is>
          <t>Accessories</t>
        </is>
      </c>
      <c r="E8" s="9" t="n">
        <v>29.99</v>
      </c>
    </row>
    <row r="9">
      <c r="B9" s="6" t="inlineStr">
        <is>
          <t>SKU-002</t>
        </is>
      </c>
      <c r="C9" s="6" t="inlineStr">
        <is>
          <t>Mechanical Keyboard</t>
        </is>
      </c>
      <c r="D9" s="6" t="inlineStr">
        <is>
          <t>Accessories</t>
        </is>
      </c>
      <c r="E9" s="9" t="n">
        <v>89.98999999999999</v>
      </c>
    </row>
    <row r="10">
      <c r="B10" s="6" t="inlineStr">
        <is>
          <t>SKU-003</t>
        </is>
      </c>
      <c r="C10" s="6" t="inlineStr">
        <is>
          <t>USB-C Hub</t>
        </is>
      </c>
      <c r="D10" s="6" t="inlineStr">
        <is>
          <t>Electronics</t>
        </is>
      </c>
      <c r="E10" s="9" t="n">
        <v>49.99</v>
      </c>
    </row>
    <row r="11">
      <c r="B11" s="6" t="inlineStr">
        <is>
          <t>SKU-004</t>
        </is>
      </c>
      <c r="C11" s="6" t="inlineStr">
        <is>
          <t>Webcam 4K</t>
        </is>
      </c>
      <c r="D11" s="6" t="inlineStr">
        <is>
          <t>Electronics</t>
        </is>
      </c>
      <c r="E11" s="9" t="n">
        <v>129.99</v>
      </c>
    </row>
    <row r="15">
      <c r="B15" s="7" t="inlineStr">
        <is>
          <t>Tasks: Find SKU for given Product Name (reverse lookup)</t>
        </is>
      </c>
    </row>
    <row r="17">
      <c r="B17" s="6" t="inlineStr">
        <is>
          <t>Wireless Mouse</t>
        </is>
      </c>
      <c r="C17" s="11" t="inlineStr"/>
    </row>
    <row r="18">
      <c r="B18" s="6" t="inlineStr">
        <is>
          <t>Webcam 4K</t>
        </is>
      </c>
      <c r="C18" s="11" t="inlineStr"/>
    </row>
    <row r="23">
      <c r="B23" s="2" t="inlineStr">
        <is>
          <t>EXERCISE 2: RETURN MULTIPLE COLUMNS</t>
        </is>
      </c>
    </row>
    <row r="25">
      <c r="B25" s="12" t="inlineStr">
        <is>
          <t>Use XLOOKUP to return Category AND Price for SKU-002</t>
        </is>
      </c>
    </row>
    <row r="27">
      <c r="B27" s="20" t="inlineStr">
        <is>
          <t>Hint: =XLOOKUP(lookup_value, lookup_array, return_array)</t>
        </is>
      </c>
    </row>
    <row r="28">
      <c r="B28" s="20" t="inlineStr">
        <is>
          <t xml:space="preserve">      Where return_array spans multiple columns (C8:D8)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2026-04-06T16:09:29Z</dcterms:created>
  <dcterms:modified xmlns:dcterms="http://purl.org/dc/terms/" xmlns:xsi="http://www.w3.org/2001/XMLSchema-instance" xsi:type="dcterms:W3CDTF">2026-04-06T16:10:26Z</dcterms:modified>
</cp:coreProperties>
</file>